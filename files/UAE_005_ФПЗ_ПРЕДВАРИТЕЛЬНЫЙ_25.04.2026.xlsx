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UAE\UAE#5\"/>
    </mc:Choice>
  </mc:AlternateContent>
  <xr:revisionPtr revIDLastSave="0" documentId="13_ncr:1_{124B3649-7B08-422E-A6C5-38E62A51E7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ФПЗ_Э5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5" i="1" l="1"/>
  <c r="R15" i="1"/>
  <c r="L26" i="1" l="1"/>
  <c r="L13" i="1"/>
  <c r="E2" i="1"/>
  <c r="E6" i="1"/>
  <c r="X6" i="1" s="1"/>
  <c r="E9" i="1"/>
  <c r="X3" i="1"/>
  <c r="X4" i="1"/>
  <c r="X5" i="1"/>
  <c r="X7" i="1"/>
  <c r="X8" i="1"/>
  <c r="X9" i="1"/>
  <c r="E13" i="1" l="1"/>
  <c r="M5" i="1"/>
  <c r="K5" i="1"/>
  <c r="O5" i="1" s="1"/>
  <c r="M3" i="1"/>
  <c r="K3" i="1"/>
  <c r="L3" i="1" s="1"/>
  <c r="I3" i="1"/>
  <c r="X2" i="1"/>
  <c r="K4" i="1"/>
  <c r="O4" i="1" s="1"/>
  <c r="K6" i="1"/>
  <c r="O6" i="1" s="1"/>
  <c r="K7" i="1"/>
  <c r="O7" i="1" s="1"/>
  <c r="K8" i="1"/>
  <c r="O8" i="1" s="1"/>
  <c r="K9" i="1"/>
  <c r="L9" i="1" s="1"/>
  <c r="K2" i="1"/>
  <c r="M9" i="1"/>
  <c r="I9" i="1"/>
  <c r="M8" i="1"/>
  <c r="I8" i="1"/>
  <c r="M4" i="1"/>
  <c r="I4" i="1"/>
  <c r="L5" i="1" l="1"/>
  <c r="O3" i="1"/>
  <c r="X10" i="1"/>
  <c r="L4" i="1"/>
  <c r="I6" i="1"/>
  <c r="M6" i="1"/>
  <c r="L8" i="1"/>
  <c r="O9" i="1"/>
  <c r="M7" i="1"/>
  <c r="I7" i="1"/>
  <c r="L7" i="1"/>
  <c r="M2" i="1"/>
  <c r="I2" i="1"/>
  <c r="L2" i="1"/>
  <c r="L6" i="1"/>
  <c r="O2" i="1"/>
  <c r="M13" i="1" l="1"/>
  <c r="I13" i="1"/>
  <c r="P3" i="1" l="1"/>
  <c r="P5" i="1"/>
  <c r="S5" i="1"/>
  <c r="R5" i="1"/>
  <c r="R4" i="1"/>
  <c r="S3" i="1"/>
  <c r="R3" i="1"/>
  <c r="P9" i="1"/>
  <c r="P2" i="1"/>
  <c r="R2" i="1"/>
  <c r="S7" i="1"/>
  <c r="P7" i="1"/>
  <c r="S8" i="1"/>
  <c r="R6" i="1"/>
  <c r="R8" i="1"/>
  <c r="S4" i="1"/>
  <c r="S6" i="1"/>
  <c r="R7" i="1"/>
  <c r="S2" i="1"/>
  <c r="M14" i="1"/>
  <c r="R9" i="1"/>
  <c r="S9" i="1"/>
  <c r="P8" i="1"/>
  <c r="P4" i="1"/>
  <c r="P6" i="1"/>
  <c r="Q5" i="1" l="1"/>
  <c r="T5" i="1" s="1"/>
  <c r="U5" i="1" s="1"/>
  <c r="Q9" i="1"/>
  <c r="T9" i="1" s="1"/>
  <c r="U9" i="1" s="1"/>
  <c r="T15" i="1"/>
  <c r="Q3" i="1"/>
  <c r="T3" i="1" s="1"/>
  <c r="U3" i="1" s="1"/>
  <c r="S13" i="1"/>
  <c r="Q8" i="1"/>
  <c r="T8" i="1" s="1"/>
  <c r="U8" i="1" s="1"/>
  <c r="Y8" i="1" s="1"/>
  <c r="Q6" i="1"/>
  <c r="T6" i="1" s="1"/>
  <c r="U6" i="1" s="1"/>
  <c r="Y6" i="1" s="1"/>
  <c r="Q4" i="1"/>
  <c r="T4" i="1" s="1"/>
  <c r="U4" i="1" s="1"/>
  <c r="R13" i="1"/>
  <c r="P13" i="1"/>
  <c r="Q7" i="1"/>
  <c r="T7" i="1" s="1"/>
  <c r="U7" i="1" s="1"/>
  <c r="Q2" i="1"/>
  <c r="T2" i="1" s="1"/>
  <c r="W9" i="1" l="1"/>
  <c r="Y9" i="1"/>
  <c r="W5" i="1"/>
  <c r="Y5" i="1"/>
  <c r="W7" i="1"/>
  <c r="Y7" i="1"/>
  <c r="W4" i="1"/>
  <c r="Y4" i="1"/>
  <c r="W3" i="1"/>
  <c r="Y3" i="1"/>
  <c r="Q13" i="1"/>
  <c r="U2" i="1"/>
  <c r="Y2" i="1" s="1"/>
  <c r="T13" i="1"/>
  <c r="W6" i="1"/>
  <c r="W8" i="1"/>
  <c r="W2" i="1" l="1"/>
  <c r="Y10" i="1"/>
  <c r="Y14" i="1" s="1"/>
</calcChain>
</file>

<file path=xl/sharedStrings.xml><?xml version="1.0" encoding="utf-8"?>
<sst xmlns="http://schemas.openxmlformats.org/spreadsheetml/2006/main" count="55" uniqueCount="48">
  <si>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</si>
  <si>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</si>
  <si>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</si>
  <si>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</si>
  <si>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</si>
  <si>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</si>
  <si>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</si>
  <si>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</si>
  <si>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</si>
  <si>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</si>
  <si>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</si>
  <si>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</si>
  <si>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</si>
  <si>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</si>
  <si>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</si>
  <si>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</si>
  <si>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</si>
  <si>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</si>
  <si>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</si>
  <si>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</si>
  <si>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</si>
  <si>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</si>
  <si>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0450000115</t>
  </si>
  <si>
    <t>Hyundai/Kia</t>
  </si>
  <si>
    <t>HYUNDAI ATF SP-IV (1л) 0450000115 Масло трансмиссионное, шт</t>
  </si>
  <si>
    <t>BMW</t>
  </si>
  <si>
    <t>83212465843</t>
  </si>
  <si>
    <t>Моторное масло BMW TwinPower Turbo Longlife-01 5W-30 кан. 1л</t>
  </si>
  <si>
    <t>Общий вес с паллетами</t>
  </si>
  <si>
    <t>введите</t>
  </si>
  <si>
    <t xml:space="preserve">Ожидаемый % рент. </t>
  </si>
  <si>
    <t>MERCEDES-BENZ Genuine MB 229.52 5W-30</t>
  </si>
  <si>
    <t>MERSEDES-BENZ</t>
  </si>
  <si>
    <t>Mitsubishi</t>
  </si>
  <si>
    <t>ENG OIL 5W30 (SN) FS (MZ320864)</t>
  </si>
  <si>
    <t>ENG OIL 5W30 (SN) FS (MZ320863)</t>
  </si>
  <si>
    <t>MZ321233</t>
  </si>
  <si>
    <t>MZ321232</t>
  </si>
  <si>
    <t>Цена за ШТ (Закупка в валюте поставщика) + КМ</t>
  </si>
  <si>
    <t>До корректировки</t>
  </si>
  <si>
    <t>Разница</t>
  </si>
  <si>
    <t>A000989681013FSEW</t>
  </si>
  <si>
    <t>A000989681011FSEW</t>
  </si>
  <si>
    <t>0888602905</t>
  </si>
  <si>
    <t>Toyota</t>
  </si>
  <si>
    <t>CVT Flued TC</t>
  </si>
  <si>
    <t>A000989671013FBDW</t>
  </si>
  <si>
    <t>MERCEDES-BENZ Genuine MB 229.5 5W-40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</si>
</sst>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</numFmts>
  <fonts count="15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8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left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49" fontId="12" fillId="0" borderId="4" xfId="0" applyNumberFormat="1" applyFont="1" applyBorder="1" applyAlignment="1" applyProtection="1">
      <alignment horizontal="center" vertical="center" wrapText="1"/>
    </xf>
    <xf numFmtId="165" fontId="13" fillId="0" borderId="0" xfId="0" applyNumberFormat="1" applyFont="1" applyBorder="1" applyAlignment="1" applyProtection="1">
      <alignment horizontal="right" vertical="center" wrapText="1"/>
    </xf>
    <xf numFmtId="0" fontId="14" fillId="8" borderId="2" xfId="0" applyFont="1" applyFill="1" applyBorder="1" applyAlignment="1">
      <alignment horizontal="center" vertical="center"/>
    </xf>
    <xf numFmtId="10" fontId="14" fillId="8" borderId="2" xfId="3" applyNumberFormat="1" applyFont="1" applyFill="1" applyBorder="1" applyAlignment="1" applyProtection="1">
      <alignment horizontal="center" vertical="center"/>
    </xf>
    <xf numFmtId="4" fontId="7" fillId="9" borderId="4" xfId="0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H35"/>
  <sheetViews>
    <sheetView tabSelected="1" zoomScale="85" workbookViewId="0">
      <pane xSplit="5" ySplit="1" topLeftCell="P2" activePane="bottomRight" state="frozen"/>
      <selection sqref="A1:H5"/>
      <selection pane="topRight"/>
      <selection pane="bottomLeft"/>
      <selection pane="bottomRight" activeCell="S25" sqref="S25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44.7109375" style="2" bestFit="1" customWidth="1"/>
    <col min="4" max="4" width="11.7109375" style="3" customWidth="1"/>
    <col min="5" max="7" width="10.85546875" style="4" customWidth="1"/>
    <col min="8" max="8" width="10.42578125" style="5" customWidth="1"/>
    <col min="9" max="9" width="10.7109375" style="6" customWidth="1"/>
    <col min="10" max="11" width="22.28515625" style="6" bestFit="1" customWidth="1"/>
    <col min="12" max="12" width="16.42578125" style="7" customWidth="1"/>
    <col min="13" max="13" width="11.5703125" style="5"/>
    <col min="14" max="14" width="11.5703125" style="7"/>
    <col min="15" max="15" width="12.5703125" style="5" customWidth="1"/>
    <col min="16" max="16" width="18.5703125" style="5" customWidth="1"/>
    <col min="17" max="18" width="17.5703125" style="7" customWidth="1"/>
    <col min="19" max="19" width="14.140625" style="7" customWidth="1"/>
    <col min="20" max="20" width="21.5703125" style="7" customWidth="1"/>
    <col min="21" max="21" width="16" style="5" customWidth="1"/>
    <col min="22" max="22" width="17.5703125" style="5" customWidth="1"/>
    <col min="23" max="23" width="19.140625" style="5" customWidth="1"/>
    <col min="24" max="24" width="34.42578125" style="5" customWidth="1"/>
    <col min="25" max="25" width="28" style="5" customWidth="1"/>
    <col min="26" max="26" width="15.7109375" style="5" customWidth="1"/>
    <col min="27" max="27" width="11.5703125" style="5"/>
    <col min="28" max="28" width="44.140625" style="5" customWidth="1"/>
    <col min="29" max="1020" width="11.5703125" style="5"/>
    <col min="1021" max="1022" width="11.5703125" style="8"/>
  </cols>
  <sheetData>
    <row r="1" spans="1:1022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39</v>
      </c>
      <c r="G1" s="12" t="s">
        <v>40</v>
      </c>
      <c r="H1" s="10" t="s">
        <v>5</v>
      </c>
      <c r="I1" s="10" t="s">
        <v>6</v>
      </c>
      <c r="J1" s="10" t="s">
        <v>7</v>
      </c>
      <c r="K1" s="10" t="s">
        <v>38</v>
      </c>
      <c r="L1" s="13" t="s">
        <v>8</v>
      </c>
      <c r="M1" s="14" t="s">
        <v>9</v>
      </c>
      <c r="N1" s="11" t="s">
        <v>10</v>
      </c>
      <c r="O1" s="15" t="s">
        <v>11</v>
      </c>
      <c r="P1" s="16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8" t="s">
        <v>17</v>
      </c>
      <c r="V1" s="19" t="s">
        <v>18</v>
      </c>
      <c r="W1" s="20" t="s">
        <v>19</v>
      </c>
      <c r="X1" s="20" t="s">
        <v>20</v>
      </c>
      <c r="Y1" s="20" t="s">
        <v>21</v>
      </c>
      <c r="Z1" s="21"/>
      <c r="AA1" s="21"/>
      <c r="AB1" s="21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</row>
    <row r="2" spans="1:1022" ht="31.5" x14ac:dyDescent="0.25">
      <c r="A2" s="23" t="s">
        <v>22</v>
      </c>
      <c r="B2" s="24" t="s">
        <v>23</v>
      </c>
      <c r="C2" s="25" t="s">
        <v>24</v>
      </c>
      <c r="D2" s="26">
        <v>1</v>
      </c>
      <c r="E2" s="26">
        <f>1008*12</f>
        <v>12096</v>
      </c>
      <c r="F2" s="26"/>
      <c r="G2" s="26"/>
      <c r="H2" s="26">
        <v>24</v>
      </c>
      <c r="I2" s="26">
        <f t="shared" ref="I2:I9" si="0">E2/H2</f>
        <v>504</v>
      </c>
      <c r="J2" s="27">
        <v>5.0999999999999996</v>
      </c>
      <c r="K2" s="27">
        <f>J2+17/N2</f>
        <v>5.3151898734177214</v>
      </c>
      <c r="L2" s="27">
        <f t="shared" ref="L2:L9" si="1">K2*E2</f>
        <v>64292.53670886076</v>
      </c>
      <c r="M2" s="28">
        <f t="shared" ref="M2:M9" si="2">D2*E2*0.97</f>
        <v>11733.119999999999</v>
      </c>
      <c r="N2" s="24">
        <v>79</v>
      </c>
      <c r="O2" s="29">
        <f t="shared" ref="O2:O8" si="3">K2*N2*1.0425</f>
        <v>437.74574999999999</v>
      </c>
      <c r="P2" s="29">
        <f t="shared" ref="P2:P9" si="4">$P$15/$L$13*L2</f>
        <v>4909245.9617645722</v>
      </c>
      <c r="Q2" s="29">
        <f t="shared" ref="Q2:Q9" si="5">$Q$15/$L$13*L2</f>
        <v>1396619.2175586724</v>
      </c>
      <c r="R2" s="29">
        <f t="shared" ref="R2:R9" si="6">$R$15/$M$13*M2</f>
        <v>865715.65929590841</v>
      </c>
      <c r="S2" s="29">
        <f t="shared" ref="S2:S9" si="7">$S$15/$M$13*M2</f>
        <v>26374.881065651756</v>
      </c>
      <c r="T2" s="29">
        <f t="shared" ref="T2:T9" si="8">P2+Q2+R2+S2</f>
        <v>7197955.7196848048</v>
      </c>
      <c r="U2" s="30">
        <f t="shared" ref="U2:U9" si="9">IFERROR(SUM(T2/E2),"")</f>
        <v>595.06909058240785</v>
      </c>
      <c r="V2" s="31">
        <v>780</v>
      </c>
      <c r="W2" s="32">
        <f>IFERROR((V2-U2)/U2,"")</f>
        <v>0.31077216468527374</v>
      </c>
      <c r="X2" s="33">
        <f t="shared" ref="X2:X9" si="10">V2*E2</f>
        <v>9434880</v>
      </c>
      <c r="Y2" s="33">
        <f t="shared" ref="Y2:Y9" si="11">IFERROR(U2*E2,"")</f>
        <v>7197955.7196848057</v>
      </c>
      <c r="Z2" s="21"/>
      <c r="AA2" s="21"/>
      <c r="AB2" s="21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</row>
    <row r="3" spans="1:1022" ht="15.75" x14ac:dyDescent="0.25">
      <c r="A3" s="23" t="s">
        <v>46</v>
      </c>
      <c r="B3" s="24" t="s">
        <v>32</v>
      </c>
      <c r="C3" s="25" t="s">
        <v>31</v>
      </c>
      <c r="D3" s="26">
        <v>5</v>
      </c>
      <c r="E3" s="26">
        <v>600</v>
      </c>
      <c r="F3" s="26"/>
      <c r="G3" s="26"/>
      <c r="H3" s="26">
        <v>3</v>
      </c>
      <c r="I3" s="26">
        <f t="shared" si="0"/>
        <v>200</v>
      </c>
      <c r="J3" s="27">
        <v>35.14</v>
      </c>
      <c r="K3" s="27">
        <f>J3+17/N3</f>
        <v>35.355189873417721</v>
      </c>
      <c r="L3" s="27">
        <f t="shared" ref="L3" si="12">K3*E3</f>
        <v>21213.113924050635</v>
      </c>
      <c r="M3" s="28">
        <f>D3*E3*0.97</f>
        <v>2910</v>
      </c>
      <c r="N3" s="24">
        <v>79</v>
      </c>
      <c r="O3" s="29">
        <f t="shared" ref="O3" si="13">K3*N3*1.0425</f>
        <v>2911.76505</v>
      </c>
      <c r="P3" s="29">
        <f t="shared" si="4"/>
        <v>1619789.7796393035</v>
      </c>
      <c r="Q3" s="29">
        <f t="shared" si="5"/>
        <v>460809.98024312599</v>
      </c>
      <c r="R3" s="29">
        <f t="shared" si="6"/>
        <v>214711.22502378683</v>
      </c>
      <c r="S3" s="29">
        <f t="shared" si="7"/>
        <v>6541.3891531874397</v>
      </c>
      <c r="T3" s="29">
        <f t="shared" ref="T3" si="14">P3+Q3+R3+S3</f>
        <v>2301852.3740594038</v>
      </c>
      <c r="U3" s="30">
        <f t="shared" ref="U3" si="15">IFERROR(SUM(T3/E3),"")</f>
        <v>3836.4206234323397</v>
      </c>
      <c r="V3" s="31">
        <v>4900</v>
      </c>
      <c r="W3" s="32">
        <f>IFERROR((V3-U3)/U3,"")</f>
        <v>0.27723221225312494</v>
      </c>
      <c r="X3" s="33">
        <f t="shared" si="10"/>
        <v>2940000</v>
      </c>
      <c r="Y3" s="33">
        <f t="shared" si="11"/>
        <v>2301852.3740594038</v>
      </c>
      <c r="Z3" s="21"/>
      <c r="AA3" s="21"/>
      <c r="AB3" s="21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</row>
    <row r="4" spans="1:1022" ht="30" customHeight="1" x14ac:dyDescent="0.25">
      <c r="A4" s="23" t="s">
        <v>41</v>
      </c>
      <c r="B4" s="24" t="s">
        <v>32</v>
      </c>
      <c r="C4" s="25" t="s">
        <v>47</v>
      </c>
      <c r="D4" s="26">
        <v>5</v>
      </c>
      <c r="E4" s="26">
        <v>240</v>
      </c>
      <c r="F4" s="26"/>
      <c r="G4" s="26"/>
      <c r="H4" s="26">
        <v>12</v>
      </c>
      <c r="I4" s="26">
        <f t="shared" si="0"/>
        <v>20</v>
      </c>
      <c r="J4" s="27">
        <v>29.09</v>
      </c>
      <c r="K4" s="27">
        <f t="shared" ref="K4:K9" si="16">J4+17/N4</f>
        <v>29.305189873417721</v>
      </c>
      <c r="L4" s="27">
        <f t="shared" si="1"/>
        <v>7033.2455696202533</v>
      </c>
      <c r="M4" s="28">
        <f t="shared" si="2"/>
        <v>1164</v>
      </c>
      <c r="N4" s="24">
        <v>79</v>
      </c>
      <c r="O4" s="29">
        <f t="shared" si="3"/>
        <v>2413.5021750000001</v>
      </c>
      <c r="P4" s="29">
        <f t="shared" si="4"/>
        <v>537044.17617104505</v>
      </c>
      <c r="Q4" s="29">
        <f t="shared" si="5"/>
        <v>152782.36677488679</v>
      </c>
      <c r="R4" s="29">
        <f t="shared" si="6"/>
        <v>85884.490009514731</v>
      </c>
      <c r="S4" s="29">
        <f t="shared" si="7"/>
        <v>2616.555661274976</v>
      </c>
      <c r="T4" s="29">
        <f t="shared" si="8"/>
        <v>778327.58861672156</v>
      </c>
      <c r="U4" s="30">
        <f t="shared" si="9"/>
        <v>3243.0316192363398</v>
      </c>
      <c r="V4" s="31">
        <v>4000</v>
      </c>
      <c r="W4" s="32">
        <f t="shared" ref="W4:W8" si="17">IFERROR((V4-U4)/U4,"")</f>
        <v>0.2334138144918578</v>
      </c>
      <c r="X4" s="33">
        <f t="shared" si="10"/>
        <v>960000</v>
      </c>
      <c r="Y4" s="33">
        <f t="shared" si="11"/>
        <v>778327.58861672156</v>
      </c>
      <c r="Z4" s="21"/>
      <c r="AA4" s="21"/>
      <c r="AB4" s="21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</row>
    <row r="5" spans="1:1022" ht="30" customHeight="1" x14ac:dyDescent="0.25">
      <c r="A5" s="23" t="s">
        <v>42</v>
      </c>
      <c r="B5" s="24" t="s">
        <v>32</v>
      </c>
      <c r="C5" s="25" t="s">
        <v>47</v>
      </c>
      <c r="D5" s="26">
        <v>1</v>
      </c>
      <c r="E5" s="26">
        <v>720</v>
      </c>
      <c r="F5" s="26"/>
      <c r="G5" s="26"/>
      <c r="H5" s="26"/>
      <c r="I5" s="26"/>
      <c r="J5" s="27">
        <v>6.29</v>
      </c>
      <c r="K5" s="27">
        <f t="shared" ref="K5" si="18">J5+17/N5</f>
        <v>6.5051898734177218</v>
      </c>
      <c r="L5" s="27">
        <f t="shared" ref="L5" si="19">K5*E5</f>
        <v>4683.7367088607598</v>
      </c>
      <c r="M5" s="28">
        <f t="shared" ref="M5" si="20">D5*E5*0.97</f>
        <v>698.4</v>
      </c>
      <c r="N5" s="24">
        <v>79</v>
      </c>
      <c r="O5" s="29">
        <f t="shared" ref="O5" si="21">K5*N5*1.0425</f>
        <v>535.75117499999999</v>
      </c>
      <c r="P5" s="29">
        <f t="shared" si="4"/>
        <v>357640.50854092691</v>
      </c>
      <c r="Q5" s="29">
        <f t="shared" si="5"/>
        <v>101744.26196934325</v>
      </c>
      <c r="R5" s="29">
        <f t="shared" si="6"/>
        <v>51530.694005708836</v>
      </c>
      <c r="S5" s="29">
        <f t="shared" si="7"/>
        <v>1569.9333967649854</v>
      </c>
      <c r="T5" s="29">
        <f t="shared" ref="T5" si="22">P5+Q5+R5+S5</f>
        <v>512485.39791274397</v>
      </c>
      <c r="U5" s="30">
        <f t="shared" ref="U5" si="23">IFERROR(SUM(T5/E5),"")</f>
        <v>711.78527487881104</v>
      </c>
      <c r="V5" s="31">
        <v>900</v>
      </c>
      <c r="W5" s="32">
        <f t="shared" si="17"/>
        <v>0.26442626978091743</v>
      </c>
      <c r="X5" s="33">
        <f t="shared" si="10"/>
        <v>648000</v>
      </c>
      <c r="Y5" s="33">
        <f t="shared" si="11"/>
        <v>512485.39791274397</v>
      </c>
      <c r="Z5" s="21"/>
      <c r="AA5" s="21"/>
      <c r="AB5" s="21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</row>
    <row r="6" spans="1:1022" ht="31.5" x14ac:dyDescent="0.25">
      <c r="A6" s="23" t="s">
        <v>26</v>
      </c>
      <c r="B6" s="24" t="s">
        <v>25</v>
      </c>
      <c r="C6" s="25" t="s">
        <v>27</v>
      </c>
      <c r="D6" s="26">
        <v>1</v>
      </c>
      <c r="E6" s="67">
        <f>576*9</f>
        <v>5184</v>
      </c>
      <c r="F6" s="26"/>
      <c r="G6" s="26"/>
      <c r="H6" s="26">
        <v>12</v>
      </c>
      <c r="I6" s="26">
        <f t="shared" si="0"/>
        <v>432</v>
      </c>
      <c r="J6" s="27">
        <v>6.8</v>
      </c>
      <c r="K6" s="27">
        <f t="shared" si="16"/>
        <v>7.0151898734177216</v>
      </c>
      <c r="L6" s="27">
        <f t="shared" si="1"/>
        <v>36366.744303797466</v>
      </c>
      <c r="M6" s="28">
        <f t="shared" si="2"/>
        <v>5028.4799999999996</v>
      </c>
      <c r="N6" s="24">
        <v>79</v>
      </c>
      <c r="O6" s="29">
        <f t="shared" si="3"/>
        <v>577.75350000000003</v>
      </c>
      <c r="P6" s="29">
        <f t="shared" si="4"/>
        <v>2776889.8499744078</v>
      </c>
      <c r="Q6" s="29">
        <f t="shared" si="5"/>
        <v>789990.5117249171</v>
      </c>
      <c r="R6" s="29">
        <f t="shared" si="6"/>
        <v>371020.9968411036</v>
      </c>
      <c r="S6" s="29">
        <f t="shared" si="7"/>
        <v>11303.520456707894</v>
      </c>
      <c r="T6" s="29">
        <f t="shared" si="8"/>
        <v>3949204.8789971368</v>
      </c>
      <c r="U6" s="30">
        <f t="shared" si="9"/>
        <v>761.80649672012669</v>
      </c>
      <c r="V6" s="31">
        <v>980</v>
      </c>
      <c r="W6" s="32">
        <f t="shared" si="17"/>
        <v>0.28641591299008506</v>
      </c>
      <c r="X6" s="33">
        <f t="shared" si="10"/>
        <v>5080320</v>
      </c>
      <c r="Y6" s="33">
        <f t="shared" si="11"/>
        <v>3949204.8789971368</v>
      </c>
      <c r="Z6" s="21"/>
      <c r="AA6" s="21"/>
      <c r="AB6" s="21"/>
    </row>
    <row r="7" spans="1:1022" ht="15.75" x14ac:dyDescent="0.25">
      <c r="A7" s="23" t="s">
        <v>37</v>
      </c>
      <c r="B7" s="59" t="s">
        <v>33</v>
      </c>
      <c r="C7" s="60" t="s">
        <v>34</v>
      </c>
      <c r="D7" s="26">
        <v>4</v>
      </c>
      <c r="E7" s="26">
        <v>144</v>
      </c>
      <c r="F7" s="26"/>
      <c r="G7" s="26"/>
      <c r="H7" s="26">
        <v>6</v>
      </c>
      <c r="I7" s="26">
        <f t="shared" si="0"/>
        <v>24</v>
      </c>
      <c r="J7" s="27">
        <v>15.11</v>
      </c>
      <c r="K7" s="27">
        <f t="shared" si="16"/>
        <v>15.32518987341772</v>
      </c>
      <c r="L7" s="27">
        <f t="shared" si="1"/>
        <v>2206.8273417721516</v>
      </c>
      <c r="M7" s="28">
        <f t="shared" si="2"/>
        <v>558.72</v>
      </c>
      <c r="N7" s="24">
        <v>79</v>
      </c>
      <c r="O7" s="29">
        <f t="shared" si="3"/>
        <v>1262.1443249999998</v>
      </c>
      <c r="P7" s="29">
        <f t="shared" si="4"/>
        <v>168508.80009550884</v>
      </c>
      <c r="Q7" s="29">
        <f t="shared" si="5"/>
        <v>47938.650940306339</v>
      </c>
      <c r="R7" s="29">
        <f t="shared" si="6"/>
        <v>41224.55520456707</v>
      </c>
      <c r="S7" s="29">
        <f t="shared" si="7"/>
        <v>1255.9467174119884</v>
      </c>
      <c r="T7" s="29">
        <f t="shared" si="8"/>
        <v>258927.95295779422</v>
      </c>
      <c r="U7" s="30">
        <f t="shared" si="9"/>
        <v>1798.1107844291264</v>
      </c>
      <c r="V7" s="31">
        <v>2500</v>
      </c>
      <c r="W7" s="32">
        <f t="shared" si="17"/>
        <v>0.3903481485395312</v>
      </c>
      <c r="X7" s="33">
        <f t="shared" si="10"/>
        <v>360000</v>
      </c>
      <c r="Y7" s="33">
        <f t="shared" si="11"/>
        <v>258927.95295779419</v>
      </c>
      <c r="Z7" s="21"/>
      <c r="AA7" s="21"/>
      <c r="AB7" s="21"/>
    </row>
    <row r="8" spans="1:1022" ht="15.75" x14ac:dyDescent="0.25">
      <c r="A8" s="63" t="s">
        <v>36</v>
      </c>
      <c r="B8" s="59" t="s">
        <v>33</v>
      </c>
      <c r="C8" s="60" t="s">
        <v>35</v>
      </c>
      <c r="D8" s="26">
        <v>1</v>
      </c>
      <c r="E8" s="26">
        <v>144</v>
      </c>
      <c r="F8" s="26"/>
      <c r="G8" s="26"/>
      <c r="H8" s="26">
        <v>24</v>
      </c>
      <c r="I8" s="26">
        <f t="shared" si="0"/>
        <v>6</v>
      </c>
      <c r="J8" s="27">
        <v>4.21</v>
      </c>
      <c r="K8" s="27">
        <f t="shared" si="16"/>
        <v>4.4251898734177217</v>
      </c>
      <c r="L8" s="27">
        <f t="shared" si="1"/>
        <v>637.22734177215193</v>
      </c>
      <c r="M8" s="28">
        <f t="shared" si="2"/>
        <v>139.68</v>
      </c>
      <c r="N8" s="24">
        <v>79</v>
      </c>
      <c r="O8" s="29">
        <f t="shared" si="3"/>
        <v>364.44757500000003</v>
      </c>
      <c r="P8" s="29">
        <f t="shared" si="4"/>
        <v>48657.37011571</v>
      </c>
      <c r="Q8" s="29">
        <f t="shared" si="5"/>
        <v>13842.414641420755</v>
      </c>
      <c r="R8" s="29">
        <f t="shared" si="6"/>
        <v>10306.138801141768</v>
      </c>
      <c r="S8" s="29">
        <f t="shared" si="7"/>
        <v>313.9866793529971</v>
      </c>
      <c r="T8" s="29">
        <f t="shared" si="8"/>
        <v>73119.910237625518</v>
      </c>
      <c r="U8" s="30">
        <f t="shared" si="9"/>
        <v>507.777154427955</v>
      </c>
      <c r="V8" s="31">
        <v>750</v>
      </c>
      <c r="W8" s="32">
        <f t="shared" si="17"/>
        <v>0.47702588322415818</v>
      </c>
      <c r="X8" s="33">
        <f t="shared" si="10"/>
        <v>108000</v>
      </c>
      <c r="Y8" s="33">
        <f t="shared" si="11"/>
        <v>73119.910237625518</v>
      </c>
      <c r="Z8" s="21"/>
      <c r="AA8" s="21"/>
      <c r="AB8" s="21"/>
    </row>
    <row r="9" spans="1:1022" ht="15.75" x14ac:dyDescent="0.25">
      <c r="A9" s="63" t="s">
        <v>43</v>
      </c>
      <c r="B9" s="59" t="s">
        <v>44</v>
      </c>
      <c r="C9" s="60" t="s">
        <v>45</v>
      </c>
      <c r="D9" s="26">
        <v>4</v>
      </c>
      <c r="E9" s="26">
        <f>144*4</f>
        <v>576</v>
      </c>
      <c r="F9" s="26"/>
      <c r="G9" s="26"/>
      <c r="H9" s="26">
        <v>4</v>
      </c>
      <c r="I9" s="26">
        <f t="shared" si="0"/>
        <v>144</v>
      </c>
      <c r="J9" s="27">
        <v>26.66</v>
      </c>
      <c r="K9" s="27">
        <f t="shared" si="16"/>
        <v>26.875189873417721</v>
      </c>
      <c r="L9" s="27">
        <f t="shared" si="1"/>
        <v>15480.109367088608</v>
      </c>
      <c r="M9" s="28">
        <f t="shared" si="2"/>
        <v>2234.88</v>
      </c>
      <c r="N9" s="24">
        <v>79</v>
      </c>
      <c r="O9" s="29">
        <f t="shared" ref="O9" si="24">K9*N9*1.0425</f>
        <v>2213.37345</v>
      </c>
      <c r="P9" s="29">
        <f t="shared" si="4"/>
        <v>1182029.3347918249</v>
      </c>
      <c r="Q9" s="29">
        <f t="shared" si="5"/>
        <v>336272.59614732757</v>
      </c>
      <c r="R9" s="29">
        <f t="shared" si="6"/>
        <v>164898.22081826828</v>
      </c>
      <c r="S9" s="29">
        <f t="shared" si="7"/>
        <v>5023.7868696479536</v>
      </c>
      <c r="T9" s="29">
        <f t="shared" si="8"/>
        <v>1688223.9386270687</v>
      </c>
      <c r="U9" s="30">
        <f t="shared" si="9"/>
        <v>2930.9443378942165</v>
      </c>
      <c r="V9" s="31">
        <v>3800</v>
      </c>
      <c r="W9" s="32">
        <f>IFERROR((V9-U9)/U9,"")</f>
        <v>0.29651046281219057</v>
      </c>
      <c r="X9" s="33">
        <f t="shared" si="10"/>
        <v>2188800</v>
      </c>
      <c r="Y9" s="33">
        <f t="shared" si="11"/>
        <v>1688223.9386270687</v>
      </c>
      <c r="Z9" s="21"/>
      <c r="AA9" s="21"/>
      <c r="AB9" s="21"/>
    </row>
    <row r="10" spans="1:1022" ht="15.75" x14ac:dyDescent="0.25">
      <c r="A10" s="47"/>
      <c r="B10" s="48"/>
      <c r="C10" s="49"/>
      <c r="D10" s="50"/>
      <c r="E10" s="50"/>
      <c r="F10" s="50"/>
      <c r="G10" s="50"/>
      <c r="H10" s="50"/>
      <c r="I10" s="50"/>
      <c r="J10" s="50"/>
      <c r="K10" s="51"/>
      <c r="L10" s="51"/>
      <c r="M10" s="58"/>
      <c r="N10" s="48"/>
      <c r="O10" s="52"/>
      <c r="P10" s="52"/>
      <c r="Q10" s="52"/>
      <c r="R10" s="52"/>
      <c r="S10" s="34"/>
      <c r="T10" s="52"/>
      <c r="U10" s="53"/>
      <c r="V10" s="58"/>
      <c r="W10" s="54"/>
      <c r="X10" s="64">
        <f>SUM(X2:X9)</f>
        <v>21720000</v>
      </c>
      <c r="Y10" s="64">
        <f>SUM(Y2:Y9)</f>
        <v>16760097.7610933</v>
      </c>
      <c r="Z10" s="21"/>
      <c r="AA10" s="21"/>
      <c r="AB10" s="21"/>
    </row>
    <row r="11" spans="1:1022" ht="15.75" x14ac:dyDescent="0.25">
      <c r="A11" s="47"/>
      <c r="B11" s="48"/>
      <c r="C11" s="49"/>
      <c r="D11" s="50"/>
      <c r="E11" s="50"/>
      <c r="F11" s="50"/>
      <c r="G11" s="50"/>
      <c r="H11" s="50"/>
      <c r="I11" s="50"/>
      <c r="J11" s="50"/>
      <c r="K11" s="51"/>
      <c r="L11" s="51"/>
      <c r="M11" s="58"/>
      <c r="N11" s="48"/>
      <c r="O11" s="52"/>
      <c r="P11" s="52"/>
      <c r="Q11" s="52"/>
      <c r="R11" s="52"/>
      <c r="S11" s="34"/>
      <c r="T11" s="52"/>
      <c r="U11" s="53"/>
      <c r="V11" s="58"/>
      <c r="W11" s="54"/>
      <c r="X11" s="55"/>
      <c r="Y11" s="55"/>
      <c r="Z11" s="21"/>
      <c r="AA11" s="21"/>
      <c r="AB11" s="21"/>
    </row>
    <row r="12" spans="1:1022" ht="15.75" x14ac:dyDescent="0.25">
      <c r="A12" s="47"/>
      <c r="B12" s="48"/>
      <c r="C12" s="49"/>
      <c r="D12" s="50"/>
      <c r="E12" s="50"/>
      <c r="F12" s="50"/>
      <c r="G12" s="50"/>
      <c r="H12" s="50"/>
      <c r="I12" s="50"/>
      <c r="J12" s="50"/>
      <c r="K12" s="51"/>
      <c r="L12" s="51"/>
      <c r="M12" s="58"/>
      <c r="N12" s="48"/>
      <c r="O12" s="52"/>
      <c r="P12" s="52"/>
      <c r="Q12" s="52"/>
      <c r="R12" s="52"/>
      <c r="S12" s="34"/>
      <c r="T12" s="52"/>
      <c r="U12" s="53"/>
      <c r="V12" s="58"/>
      <c r="W12" s="54"/>
      <c r="X12" s="55"/>
      <c r="Y12" s="55"/>
      <c r="Z12" s="21"/>
      <c r="AA12" s="21"/>
      <c r="AB12" s="21"/>
    </row>
    <row r="13" spans="1:1022" ht="15.75" x14ac:dyDescent="0.25">
      <c r="A13" s="35"/>
      <c r="B13" s="36"/>
      <c r="C13" s="36"/>
      <c r="D13" s="37"/>
      <c r="E13" s="38">
        <f>SUM(E2:E9)</f>
        <v>19704</v>
      </c>
      <c r="F13" s="38"/>
      <c r="G13" s="38"/>
      <c r="H13" s="39"/>
      <c r="I13" s="38">
        <f>SUM(I2:I9)</f>
        <v>1330</v>
      </c>
      <c r="J13" s="38"/>
      <c r="K13" s="39"/>
      <c r="L13" s="61">
        <f>SUMIF(L2:L9,"&lt;&gt;#ДЕЛ/0!")</f>
        <v>151913.54126582277</v>
      </c>
      <c r="M13" s="62">
        <f>SUM(M2:M9)</f>
        <v>24467.280000000002</v>
      </c>
      <c r="O13" s="7"/>
      <c r="P13" s="40">
        <f>SUMIF(P2:P9,"&lt;&gt;#ДЕЛ/0!")</f>
        <v>11599805.781093299</v>
      </c>
      <c r="Q13" s="40">
        <f>SUMIF(Q2:Q9,"&lt;&gt;#ДЕЛ/0!")</f>
        <v>3300000.0000000005</v>
      </c>
      <c r="R13" s="40">
        <f>SUMIF(R2:R9,"&lt;&gt;#ДЕЛ/0!")</f>
        <v>1805291.9799999995</v>
      </c>
      <c r="S13" s="40">
        <f>SUMIF(S2:S9,"&lt;&gt;#ДЕЛ/0!")</f>
        <v>54999.999999999993</v>
      </c>
      <c r="T13" s="40">
        <f>SUMIF(T2:T9,"&lt;&gt;#ДЕЛ/0!")</f>
        <v>16760097.7610933</v>
      </c>
      <c r="U13" s="41"/>
      <c r="V13" s="21"/>
      <c r="Y13" s="21"/>
      <c r="Z13" s="21"/>
      <c r="AA13" s="21"/>
      <c r="AB13" s="21"/>
      <c r="AMG13" s="5"/>
      <c r="AMH13" s="5"/>
    </row>
    <row r="14" spans="1:1022" ht="30" x14ac:dyDescent="0.25">
      <c r="L14" s="56" t="s">
        <v>28</v>
      </c>
      <c r="M14" s="57">
        <f>(M13/700)*20+M13</f>
        <v>25166.345142857146</v>
      </c>
      <c r="O14" s="7"/>
      <c r="P14" s="42" t="s">
        <v>29</v>
      </c>
      <c r="Q14" s="42" t="s">
        <v>29</v>
      </c>
      <c r="R14" s="42" t="s">
        <v>29</v>
      </c>
      <c r="S14" s="42" t="s">
        <v>29</v>
      </c>
      <c r="T14" s="43"/>
      <c r="X14" s="65" t="s">
        <v>30</v>
      </c>
      <c r="Y14" s="66">
        <f>(X10-Y10)/Y10</f>
        <v>0.29593516157289729</v>
      </c>
    </row>
    <row r="15" spans="1:1022" ht="31.5" x14ac:dyDescent="0.25">
      <c r="L15" s="6"/>
      <c r="M15" s="6"/>
      <c r="P15" s="44">
        <v>11599805.781093299</v>
      </c>
      <c r="Q15" s="44">
        <v>3300000</v>
      </c>
      <c r="R15" s="45">
        <f>89511.98+121860+884426+31496+38918+75000+(E13*20)+170000</f>
        <v>1805291.98</v>
      </c>
      <c r="S15" s="45">
        <f>40000+15000</f>
        <v>55000</v>
      </c>
      <c r="T15" s="44">
        <f>P15+Q15+R15+S15</f>
        <v>16760097.7610933</v>
      </c>
    </row>
    <row r="16" spans="1:1022" x14ac:dyDescent="0.2">
      <c r="L16" s="6"/>
      <c r="M16" s="6"/>
      <c r="N16" s="5"/>
      <c r="Q16" s="5"/>
      <c r="R16" s="5"/>
      <c r="S16" s="5"/>
      <c r="T16" s="5"/>
    </row>
    <row r="17" spans="12:20" x14ac:dyDescent="0.2">
      <c r="L17" s="6"/>
      <c r="M17" s="6"/>
      <c r="N17" s="5"/>
      <c r="Q17" s="5"/>
      <c r="R17" s="5"/>
      <c r="S17" s="5"/>
      <c r="T17" s="5"/>
    </row>
    <row r="18" spans="12:20" x14ac:dyDescent="0.2">
      <c r="L18" s="6"/>
      <c r="M18" s="6"/>
      <c r="N18" s="5"/>
      <c r="Q18" s="5"/>
      <c r="R18" s="5"/>
      <c r="S18" s="5"/>
      <c r="T18" s="5"/>
    </row>
    <row r="19" spans="12:20" x14ac:dyDescent="0.2">
      <c r="L19" s="6"/>
      <c r="M19" s="6"/>
      <c r="N19" s="5"/>
      <c r="Q19" s="46"/>
      <c r="R19" s="5"/>
      <c r="S19" s="5"/>
      <c r="T19" s="5"/>
    </row>
    <row r="20" spans="12:20" x14ac:dyDescent="0.2">
      <c r="L20" s="6"/>
      <c r="M20" s="6"/>
      <c r="N20" s="5"/>
      <c r="Q20" s="5"/>
      <c r="R20" s="5"/>
      <c r="S20" s="5"/>
      <c r="T20" s="5"/>
    </row>
    <row r="21" spans="12:20" x14ac:dyDescent="0.2">
      <c r="N21" s="5"/>
      <c r="Q21" s="5"/>
      <c r="R21" s="5"/>
      <c r="S21" s="5"/>
      <c r="T21" s="5"/>
    </row>
    <row r="22" spans="12:20" x14ac:dyDescent="0.2">
      <c r="N22" s="5"/>
      <c r="Q22" s="5"/>
      <c r="R22" s="5"/>
      <c r="S22" s="5"/>
      <c r="T22" s="5"/>
    </row>
    <row r="23" spans="12:20" x14ac:dyDescent="0.2">
      <c r="N23" s="5"/>
      <c r="Q23" s="5"/>
      <c r="R23" s="5"/>
      <c r="S23" s="5"/>
      <c r="T23" s="5"/>
    </row>
    <row r="24" spans="12:20" x14ac:dyDescent="0.2">
      <c r="N24" s="5"/>
      <c r="Q24" s="5"/>
      <c r="R24" s="5"/>
      <c r="S24" s="5"/>
      <c r="T24" s="5"/>
    </row>
    <row r="25" spans="12:20" x14ac:dyDescent="0.2">
      <c r="N25" s="5"/>
      <c r="Q25" s="5"/>
      <c r="R25" s="5"/>
      <c r="S25" s="5"/>
      <c r="T25" s="5"/>
    </row>
    <row r="26" spans="12:20" x14ac:dyDescent="0.2">
      <c r="L26" s="7">
        <f>L13*3.67</f>
        <v>557522.69644556951</v>
      </c>
      <c r="N26" s="5"/>
      <c r="Q26" s="5"/>
      <c r="R26" s="5"/>
      <c r="S26" s="5"/>
      <c r="T26" s="5"/>
    </row>
    <row r="27" spans="12:20" x14ac:dyDescent="0.2">
      <c r="N27" s="5"/>
      <c r="Q27" s="5"/>
      <c r="R27" s="5"/>
      <c r="S27" s="5"/>
      <c r="T27" s="5"/>
    </row>
    <row r="28" spans="12:20" x14ac:dyDescent="0.2">
      <c r="N28" s="5"/>
      <c r="Q28" s="5"/>
      <c r="R28" s="5"/>
      <c r="S28" s="5"/>
      <c r="T28" s="5"/>
    </row>
    <row r="29" spans="12:20" x14ac:dyDescent="0.2">
      <c r="N29" s="5"/>
      <c r="Q29" s="5"/>
      <c r="R29" s="5"/>
      <c r="S29" s="5"/>
      <c r="T29" s="5"/>
    </row>
    <row r="30" spans="12:20" x14ac:dyDescent="0.2">
      <c r="N30" s="5"/>
      <c r="Q30" s="5"/>
      <c r="R30" s="5"/>
      <c r="S30" s="5"/>
      <c r="T30" s="5"/>
    </row>
    <row r="31" spans="12:20" x14ac:dyDescent="0.2">
      <c r="N31" s="5"/>
      <c r="Q31" s="5"/>
      <c r="R31" s="5"/>
      <c r="S31" s="5"/>
      <c r="T31" s="5"/>
    </row>
    <row r="32" spans="12:20" x14ac:dyDescent="0.2">
      <c r="N32" s="5"/>
      <c r="Q32" s="5"/>
      <c r="R32" s="5"/>
      <c r="S32" s="5"/>
      <c r="T32" s="5"/>
    </row>
    <row r="33" spans="14:20" x14ac:dyDescent="0.2">
      <c r="N33" s="5"/>
      <c r="Q33" s="5"/>
      <c r="R33" s="5"/>
      <c r="S33" s="5"/>
      <c r="T33" s="5"/>
    </row>
    <row r="34" spans="14:20" x14ac:dyDescent="0.2">
      <c r="N34" s="5"/>
      <c r="Q34" s="5"/>
      <c r="R34" s="5"/>
      <c r="S34" s="5"/>
      <c r="T34" s="5"/>
    </row>
    <row r="35" spans="14:20" x14ac:dyDescent="0.2">
      <c r="N35" s="5"/>
      <c r="Q35" s="5"/>
      <c r="R35" s="5"/>
      <c r="S35" s="5"/>
      <c r="T35" s="5"/>
    </row>
  </sheetData>
  <conditionalFormatting sqref="W15:W1048576 W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2026-04-25T13:04:31Z</dcterms:modified>
  <dc:language>ru-RU</dc:language>
</cp:coreProperties>
</file>