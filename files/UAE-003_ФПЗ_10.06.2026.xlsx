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3_APMG\"/>
    </mc:Choice>
  </mc:AlternateContent>
  <xr:revisionPtr revIDLastSave="0" documentId="13_ncr:1_{1DCAAE9B-B1C7-490A-A80E-703A3C33E493}" xr6:coauthVersionLast="47" xr6:coauthVersionMax="47" xr10:uidLastSave="{00000000-0000-0000-0000-000000000000}"/>
  <bookViews>
    <workbookView xWindow="1905" yWindow="1905" windowWidth="35295" windowHeight="18060" xr2:uid="{00000000-000D-0000-FFFF-FFFF00000000}"/>
  </bookViews>
  <sheets>
    <sheet name="ФПЗ_Э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1" l="1"/>
  <c r="K2" i="1"/>
  <c r="N4" i="1" l="1"/>
  <c r="P15" i="1"/>
  <c r="Q10" i="1" s="1"/>
  <c r="P18" i="1"/>
  <c r="P17" i="1"/>
  <c r="P16" i="1"/>
  <c r="O10" i="1"/>
  <c r="R8" i="1"/>
  <c r="K8" i="1"/>
  <c r="N6" i="1"/>
  <c r="L6" i="1"/>
  <c r="K6" i="1"/>
  <c r="L8" i="1"/>
  <c r="R6" i="1" s="1"/>
  <c r="E5" i="1"/>
  <c r="L5" i="1"/>
  <c r="N5" i="1"/>
  <c r="K5" i="1"/>
  <c r="K4" i="1"/>
  <c r="L4" i="1"/>
  <c r="N3" i="1"/>
  <c r="L3" i="1"/>
  <c r="K3" i="1"/>
  <c r="O6" i="1" l="1"/>
  <c r="F2" i="1" l="1"/>
  <c r="G2" i="1" s="1"/>
  <c r="N2" i="1"/>
  <c r="W2" i="1" l="1"/>
  <c r="L2" i="1"/>
  <c r="R5" i="1" s="1"/>
  <c r="O5" i="1"/>
  <c r="I2" i="1"/>
  <c r="O4" i="1" l="1"/>
  <c r="O3" i="1"/>
  <c r="R3" i="1"/>
  <c r="R4" i="1"/>
  <c r="O2" i="1"/>
  <c r="O8" i="1" s="1"/>
  <c r="P10" i="1"/>
  <c r="I8" i="1"/>
  <c r="E8" i="1"/>
  <c r="R2" i="1"/>
  <c r="W7" i="1"/>
  <c r="Q5" i="1" l="1"/>
  <c r="Q6" i="1"/>
  <c r="P5" i="1"/>
  <c r="P6" i="1"/>
  <c r="Q2" i="1"/>
  <c r="Q8" i="1" s="1"/>
  <c r="Q4" i="1"/>
  <c r="P3" i="1"/>
  <c r="P4" i="1"/>
  <c r="Q3" i="1"/>
  <c r="S10" i="1"/>
  <c r="P2" i="1"/>
  <c r="P8" i="1" s="1"/>
  <c r="S5" i="1" l="1"/>
  <c r="T5" i="1" s="1"/>
  <c r="S4" i="1"/>
  <c r="T4" i="1" s="1"/>
  <c r="S6" i="1"/>
  <c r="T6" i="1" s="1"/>
  <c r="S3" i="1"/>
  <c r="T3" i="1" s="1"/>
  <c r="S2" i="1"/>
  <c r="T2" i="1" l="1"/>
  <c r="S8" i="1"/>
  <c r="X2" i="1"/>
  <c r="X7" i="1" s="1"/>
  <c r="X9" i="1" s="1"/>
  <c r="V2" i="1"/>
  <c r="W10" i="1" l="1"/>
</calcChain>
</file>

<file path=xl/sharedStrings.xml><?xml version="1.0" encoding="utf-8"?>
<sst xmlns="http://schemas.openxmlformats.org/spreadsheetml/2006/main" count="48" uniqueCount="44">
  <si>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</si>
  <si>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</si>
  <si>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</si>
  <si>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</si>
  <si>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</si>
  <si>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</si>
  <si>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</si>
  <si>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</si>
  <si>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</si>
  <si>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</si>
  <si>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</si>
  <si>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</si>
  <si>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</si>
  <si>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</si>
  <si>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</si>
  <si>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</si>
  <si>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</si>
  <si>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</si>
  <si>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</si>
  <si>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</si>
  <si>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</si>
  <si>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</si>
  <si>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введите</t>
  </si>
  <si>
    <t xml:space="preserve">Ожидаемый % рент. </t>
  </si>
  <si>
    <t>BMW</t>
  </si>
  <si>
    <t>83212465843|Масло моторное|BMW|LL-04|5W-30|Синтетическое|Германия|12x1л</t>
  </si>
  <si>
    <t>Логистика межд</t>
  </si>
  <si>
    <t>Оклейка</t>
  </si>
  <si>
    <t>Таможня + деклар</t>
  </si>
  <si>
    <t>Логистика внутр.</t>
  </si>
  <si>
    <t>83215B5BFA4</t>
  </si>
  <si>
    <t>До корректировки</t>
  </si>
  <si>
    <t>Разница</t>
  </si>
  <si>
    <t>0888681885</t>
  </si>
  <si>
    <t>TOYOTA</t>
  </si>
  <si>
    <t>ATF WS</t>
  </si>
  <si>
    <t>0450000115</t>
  </si>
  <si>
    <t>Hyundai/Kia</t>
  </si>
  <si>
    <t>HYUNDAI ATF SP-IV</t>
  </si>
  <si>
    <t>0888602905</t>
  </si>
  <si>
    <t>CVT|TOYOTA|Fluid FE</t>
  </si>
  <si>
    <t>4024610</t>
  </si>
  <si>
    <t>Mitsubishi ATF SP-III</t>
  </si>
  <si>
    <t>Mitsubishi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</si>
</sst>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#,##0.0"/>
  </numFmts>
  <fonts count="13" x14ac:knownFonts="1">
    <font>
      <sz val="10"/>
      <color indexed="64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0"/>
      <name val="Arial"/>
      <family val="2"/>
      <charset val="204"/>
    </font>
    <font>
      <b/>
      <sz val="12"/>
      <color rgb="FF00A933"/>
      <name val="Calibri Light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58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6" fillId="0" borderId="0" xfId="0" applyNumberFormat="1" applyFont="1" applyAlignment="1" applyProtection="1">
      <alignment horizontal="center" wrapText="1"/>
    </xf>
    <xf numFmtId="1" fontId="5" fillId="0" borderId="0" xfId="0" applyNumberFormat="1" applyFont="1" applyAlignment="1" applyProtection="1">
      <alignment horizontal="center" wrapText="1"/>
    </xf>
    <xf numFmtId="167" fontId="7" fillId="0" borderId="0" xfId="0" applyNumberFormat="1" applyFont="1" applyAlignment="1" applyProtection="1">
      <alignment horizontal="center" wrapText="1"/>
    </xf>
    <xf numFmtId="2" fontId="7" fillId="0" borderId="0" xfId="0" applyNumberFormat="1" applyFont="1" applyAlignment="1" applyProtection="1">
      <alignment horizontal="center" wrapText="1"/>
    </xf>
    <xf numFmtId="165" fontId="5" fillId="0" borderId="4" xfId="0" applyNumberFormat="1" applyFont="1" applyBorder="1" applyAlignment="1" applyProtection="1">
      <alignment horizontal="righ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67" fontId="9" fillId="6" borderId="0" xfId="0" applyNumberFormat="1" applyFont="1" applyFill="1" applyProtection="1"/>
    <xf numFmtId="1" fontId="8" fillId="5" borderId="0" xfId="0" applyNumberFormat="1" applyFont="1" applyFill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0" fontId="11" fillId="0" borderId="2" xfId="0" applyFont="1" applyBorder="1"/>
    <xf numFmtId="10" fontId="11" fillId="0" borderId="2" xfId="3" applyNumberFormat="1" applyFont="1" applyBorder="1" applyProtection="1"/>
    <xf numFmtId="165" fontId="12" fillId="0" borderId="0" xfId="0" applyNumberFormat="1" applyFont="1" applyAlignment="1" applyProtection="1">
      <alignment horizontal="right" wrapText="1"/>
    </xf>
    <xf numFmtId="165" fontId="12" fillId="3" borderId="0" xfId="0" applyNumberFormat="1" applyFont="1" applyFill="1" applyAlignment="1" applyProtection="1">
      <alignment horizontal="right" wrapText="1"/>
    </xf>
    <xf numFmtId="165" fontId="12" fillId="0" borderId="0" xfId="0" applyNumberFormat="1" applyFont="1" applyAlignment="1" applyProtection="1">
      <alignment horizontal="center" wrapText="1"/>
    </xf>
    <xf numFmtId="171" fontId="1" fillId="0" borderId="0" xfId="3" applyNumberFormat="1" applyFont="1" applyProtection="1"/>
    <xf numFmtId="169" fontId="1" fillId="0" borderId="4" xfId="3" applyNumberFormat="1" applyFont="1" applyBorder="1" applyAlignment="1" applyProtection="1">
      <alignment horizontal="center" vertical="center"/>
    </xf>
    <xf numFmtId="2" fontId="4" fillId="0" borderId="0" xfId="0" applyNumberFormat="1" applyFont="1" applyAlignment="1" applyProtection="1">
      <alignment horizont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G30"/>
  <sheetViews>
    <sheetView tabSelected="1" zoomScale="85" workbookViewId="0">
      <pane xSplit="5" ySplit="1" topLeftCell="F2" activePane="bottomRight" state="frozen"/>
      <selection activeCell="S8" sqref="S8"/>
      <selection pane="topRight"/>
      <selection pane="bottomLeft"/>
      <selection pane="bottomRight" activeCell="D15" sqref="D15"/>
    </sheetView>
  </sheetViews>
  <sheetFormatPr defaultColWidth="11.5703125" defaultRowHeight="12.75" x14ac:dyDescent="0.2"/>
  <cols>
    <col min="1" max="1" width="25.7109375" style="1" customWidth="1"/>
    <col min="2" max="2" width="17.28515625" style="2" bestFit="1" customWidth="1"/>
    <col min="3" max="3" width="40.42578125" style="2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0" width="15.28515625" style="6" customWidth="1"/>
    <col min="11" max="11" width="16.42578125" style="7" customWidth="1"/>
    <col min="12" max="12" width="11.5703125" style="5"/>
    <col min="13" max="13" width="11.5703125" style="7"/>
    <col min="14" max="14" width="12.5703125" style="5" customWidth="1"/>
    <col min="15" max="15" width="18.5703125" style="5" customWidth="1"/>
    <col min="16" max="17" width="17.5703125" style="7" customWidth="1"/>
    <col min="18" max="18" width="14.140625" style="7" customWidth="1"/>
    <col min="19" max="19" width="21.5703125" style="7" customWidth="1"/>
    <col min="20" max="20" width="14.7109375" style="5" customWidth="1"/>
    <col min="21" max="21" width="17.5703125" style="5" customWidth="1"/>
    <col min="22" max="22" width="17" style="5" customWidth="1"/>
    <col min="23" max="23" width="34.42578125" style="5" customWidth="1"/>
    <col min="24" max="24" width="28" style="5" customWidth="1"/>
    <col min="25" max="25" width="15.7109375" style="5" customWidth="1"/>
    <col min="26" max="26" width="11.5703125" style="5"/>
    <col min="27" max="27" width="44.140625" style="5" customWidth="1"/>
    <col min="28" max="1019" width="11.5703125" style="5"/>
    <col min="1020" max="1021" width="11.5703125" style="8"/>
  </cols>
  <sheetData>
    <row r="1" spans="1:1021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31</v>
      </c>
      <c r="G1" s="12" t="s">
        <v>32</v>
      </c>
      <c r="H1" s="10" t="s">
        <v>5</v>
      </c>
      <c r="I1" s="10" t="s">
        <v>6</v>
      </c>
      <c r="J1" s="10" t="s">
        <v>7</v>
      </c>
      <c r="K1" s="13" t="s">
        <v>8</v>
      </c>
      <c r="L1" s="14" t="s">
        <v>9</v>
      </c>
      <c r="M1" s="11" t="s">
        <v>10</v>
      </c>
      <c r="N1" s="15" t="s">
        <v>11</v>
      </c>
      <c r="O1" s="16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8" t="s">
        <v>17</v>
      </c>
      <c r="U1" s="19" t="s">
        <v>18</v>
      </c>
      <c r="V1" s="20" t="s">
        <v>19</v>
      </c>
      <c r="W1" s="20" t="s">
        <v>20</v>
      </c>
      <c r="X1" s="20" t="s">
        <v>21</v>
      </c>
      <c r="Y1" s="21"/>
      <c r="Z1" s="21"/>
      <c r="AA1" s="21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</row>
    <row r="2" spans="1:1021" ht="47.25" x14ac:dyDescent="0.25">
      <c r="A2" s="23" t="s">
        <v>30</v>
      </c>
      <c r="B2" s="24" t="s">
        <v>24</v>
      </c>
      <c r="C2" s="25" t="s">
        <v>25</v>
      </c>
      <c r="D2" s="26">
        <v>1</v>
      </c>
      <c r="E2" s="26">
        <v>19000</v>
      </c>
      <c r="F2" s="26">
        <f>576*44</f>
        <v>25344</v>
      </c>
      <c r="G2" s="26">
        <f>E2-F2</f>
        <v>-6344</v>
      </c>
      <c r="H2" s="26">
        <v>12</v>
      </c>
      <c r="I2" s="26">
        <f t="shared" ref="I2" si="0">E2/H2</f>
        <v>1583.3333333333333</v>
      </c>
      <c r="J2" s="27">
        <v>8.44</v>
      </c>
      <c r="K2" s="27">
        <f>J2*E2</f>
        <v>160360</v>
      </c>
      <c r="L2" s="28">
        <f t="shared" ref="L2" si="1">D2*E2*0.97</f>
        <v>18430</v>
      </c>
      <c r="M2" s="24">
        <v>74</v>
      </c>
      <c r="N2" s="29">
        <f>J2*M2*1.0425</f>
        <v>651.10379999999998</v>
      </c>
      <c r="O2" s="29">
        <f>$O$10/$K$8*K2</f>
        <v>11866640</v>
      </c>
      <c r="P2" s="29">
        <f>$P$10/$K$8*K2</f>
        <v>3559991.9999999995</v>
      </c>
      <c r="Q2" s="29">
        <f>$Q$10/$L$8*L2</f>
        <v>1454762.6147618017</v>
      </c>
      <c r="R2" s="29">
        <f>$R$10/$L$8*L2</f>
        <v>18027.542832357409</v>
      </c>
      <c r="S2" s="29">
        <f t="shared" ref="S2" si="2">O2+P2+Q2+R2</f>
        <v>16899422.157594159</v>
      </c>
      <c r="T2" s="30">
        <f>SUM(S2/E2)</f>
        <v>889.44327145232421</v>
      </c>
      <c r="U2" s="31">
        <v>1300</v>
      </c>
      <c r="V2" s="56">
        <f>(U2-T2)/T2</f>
        <v>0.4615884359632062</v>
      </c>
      <c r="W2" s="33">
        <f>U2*E2</f>
        <v>24700000</v>
      </c>
      <c r="X2" s="33">
        <f t="shared" ref="X2" si="3">T2*E2</f>
        <v>16899422.157594159</v>
      </c>
      <c r="Y2" s="21"/>
      <c r="Z2" s="21"/>
      <c r="AA2" s="21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</row>
    <row r="3" spans="1:1021" ht="15.75" x14ac:dyDescent="0.25">
      <c r="A3" s="23" t="s">
        <v>33</v>
      </c>
      <c r="B3" s="24" t="s">
        <v>34</v>
      </c>
      <c r="C3" s="25" t="s">
        <v>35</v>
      </c>
      <c r="D3" s="26">
        <v>4</v>
      </c>
      <c r="E3" s="26">
        <v>288</v>
      </c>
      <c r="F3" s="26"/>
      <c r="G3" s="26"/>
      <c r="H3" s="26">
        <v>4</v>
      </c>
      <c r="I3" s="26"/>
      <c r="J3" s="27">
        <v>23</v>
      </c>
      <c r="K3" s="27">
        <f t="shared" ref="K3" si="4">J3*E3</f>
        <v>6624</v>
      </c>
      <c r="L3" s="28">
        <f t="shared" ref="L3:L4" si="5">D3*E3*0.97</f>
        <v>1117.44</v>
      </c>
      <c r="M3" s="24">
        <v>74</v>
      </c>
      <c r="N3" s="29">
        <f>J3*M3*1.0425</f>
        <v>1774.335</v>
      </c>
      <c r="O3" s="29">
        <f>$O$10/$K$8*K3</f>
        <v>490176</v>
      </c>
      <c r="P3" s="29">
        <f>$P$10/$K$8*K3</f>
        <v>147052.79999999996</v>
      </c>
      <c r="Q3" s="29">
        <f>$Q$10/$L$8*L3</f>
        <v>88204.55432661029</v>
      </c>
      <c r="R3" s="29">
        <f>$R$10/$L$8*L3</f>
        <v>1093.0383864671439</v>
      </c>
      <c r="S3" s="29">
        <f>O3+P3+Q3+R3</f>
        <v>726526.39271307737</v>
      </c>
      <c r="T3" s="30">
        <f>SUM(S3/E3)</f>
        <v>2522.6610858092963</v>
      </c>
      <c r="U3" s="31"/>
      <c r="V3" s="32"/>
      <c r="W3" s="33"/>
      <c r="X3" s="33"/>
      <c r="Y3" s="21"/>
      <c r="Z3" s="21"/>
      <c r="AA3" s="21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</row>
    <row r="4" spans="1:1021" ht="15.75" x14ac:dyDescent="0.25">
      <c r="A4" s="23" t="s">
        <v>36</v>
      </c>
      <c r="B4" s="24" t="s">
        <v>37</v>
      </c>
      <c r="C4" s="25" t="s">
        <v>38</v>
      </c>
      <c r="D4" s="26">
        <v>1</v>
      </c>
      <c r="E4" s="26">
        <v>984</v>
      </c>
      <c r="F4" s="26"/>
      <c r="G4" s="26"/>
      <c r="H4" s="26">
        <v>12</v>
      </c>
      <c r="I4" s="26"/>
      <c r="J4" s="27">
        <v>5.9</v>
      </c>
      <c r="K4" s="27">
        <f>J4*E4</f>
        <v>5805.6</v>
      </c>
      <c r="L4" s="28">
        <f t="shared" si="5"/>
        <v>954.48</v>
      </c>
      <c r="M4" s="24">
        <v>74</v>
      </c>
      <c r="N4" s="29">
        <f>J4*M4*1.0425</f>
        <v>455.15550000000002</v>
      </c>
      <c r="O4" s="29">
        <f>$O$10/$K$8*K4</f>
        <v>429614.4</v>
      </c>
      <c r="P4" s="29">
        <f>$P$10/$K$8*K4</f>
        <v>128884.31999999998</v>
      </c>
      <c r="Q4" s="29">
        <f>$Q$10/$L$8*L4</f>
        <v>75341.390153979621</v>
      </c>
      <c r="R4" s="29">
        <f>$R$10/$L$8*L4</f>
        <v>933.63695510735215</v>
      </c>
      <c r="S4" s="29">
        <f t="shared" ref="S4" si="6">O4+P4+Q4+R4</f>
        <v>634773.74710908695</v>
      </c>
      <c r="T4" s="30">
        <f>SUM(S4/E4)</f>
        <v>645.09527145232414</v>
      </c>
      <c r="U4" s="31"/>
      <c r="V4" s="32"/>
      <c r="W4" s="33"/>
      <c r="X4" s="33"/>
      <c r="Y4" s="21"/>
      <c r="Z4" s="21"/>
      <c r="AA4" s="21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</row>
    <row r="5" spans="1:1021" ht="15.75" x14ac:dyDescent="0.25">
      <c r="A5" s="23" t="s">
        <v>39</v>
      </c>
      <c r="B5" s="24" t="s">
        <v>34</v>
      </c>
      <c r="C5" s="25" t="s">
        <v>40</v>
      </c>
      <c r="D5" s="26">
        <v>4</v>
      </c>
      <c r="E5" s="26">
        <f>144*5</f>
        <v>720</v>
      </c>
      <c r="F5" s="26"/>
      <c r="G5" s="26"/>
      <c r="H5" s="26">
        <v>4</v>
      </c>
      <c r="I5" s="26"/>
      <c r="J5" s="27">
        <v>25</v>
      </c>
      <c r="K5" s="27">
        <f>J5*E5</f>
        <v>18000</v>
      </c>
      <c r="L5" s="28">
        <f t="shared" ref="L5" si="7">D5*E5*0.97</f>
        <v>2793.6</v>
      </c>
      <c r="M5" s="24">
        <v>74</v>
      </c>
      <c r="N5" s="29">
        <f>J5*M5*1.0425</f>
        <v>1928.625</v>
      </c>
      <c r="O5" s="29">
        <f>$O$10/$K$8*K5</f>
        <v>1332000</v>
      </c>
      <c r="P5" s="29">
        <f>$P$10/$K$8*K5</f>
        <v>399599.99999999994</v>
      </c>
      <c r="Q5" s="29">
        <f>$Q$10/$L$8*L5</f>
        <v>220511.38581652573</v>
      </c>
      <c r="R5" s="29">
        <f>$R$10/$L$8*L5</f>
        <v>2732.5959661678598</v>
      </c>
      <c r="S5" s="29">
        <f t="shared" ref="S5" si="8">O5+P5+Q5+R5</f>
        <v>1954843.9817826934</v>
      </c>
      <c r="T5" s="30">
        <f>SUM(S5/E5)</f>
        <v>2715.0610858092964</v>
      </c>
      <c r="U5" s="31"/>
      <c r="V5" s="32"/>
      <c r="W5" s="33"/>
      <c r="X5" s="33"/>
      <c r="Y5" s="21"/>
      <c r="Z5" s="21"/>
      <c r="AA5" s="21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</row>
    <row r="6" spans="1:1021" ht="15.75" x14ac:dyDescent="0.25">
      <c r="A6" s="23" t="s">
        <v>41</v>
      </c>
      <c r="B6" s="24" t="s">
        <v>43</v>
      </c>
      <c r="C6" s="25" t="s">
        <v>42</v>
      </c>
      <c r="D6" s="26">
        <v>4</v>
      </c>
      <c r="E6" s="26">
        <v>144</v>
      </c>
      <c r="F6" s="26"/>
      <c r="G6" s="26"/>
      <c r="H6" s="26">
        <v>4</v>
      </c>
      <c r="I6" s="26"/>
      <c r="J6" s="27">
        <v>23</v>
      </c>
      <c r="K6" s="27">
        <f>J6*E6</f>
        <v>3312</v>
      </c>
      <c r="L6" s="28">
        <f t="shared" ref="L6" si="9">D6*E6*0.97</f>
        <v>558.72</v>
      </c>
      <c r="M6" s="24">
        <v>74</v>
      </c>
      <c r="N6" s="29">
        <f>J6*M6*1.0425</f>
        <v>1774.335</v>
      </c>
      <c r="O6" s="29">
        <f>$O$10/$K$8*K6</f>
        <v>245088</v>
      </c>
      <c r="P6" s="29">
        <f>$P$10/$K$8*K6</f>
        <v>73526.39999999998</v>
      </c>
      <c r="Q6" s="29">
        <f>$Q$10/$L$8*L6</f>
        <v>44102.277163305145</v>
      </c>
      <c r="R6" s="29">
        <f>$R$10/$L$8*L6</f>
        <v>546.51919323357197</v>
      </c>
      <c r="S6" s="29">
        <f t="shared" ref="S6" si="10">O6+P6+Q6+R6</f>
        <v>363263.19635653868</v>
      </c>
      <c r="T6" s="30">
        <f>SUM(S6/E6)</f>
        <v>2522.6610858092963</v>
      </c>
      <c r="U6" s="31"/>
      <c r="V6" s="32"/>
      <c r="W6" s="33"/>
      <c r="X6" s="33"/>
      <c r="Y6" s="21"/>
      <c r="Z6" s="21"/>
      <c r="AA6" s="21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</row>
    <row r="7" spans="1:1021" ht="15.75" x14ac:dyDescent="0.25">
      <c r="A7" s="34"/>
      <c r="B7" s="35"/>
      <c r="C7" s="35"/>
      <c r="D7" s="36"/>
      <c r="E7" s="37"/>
      <c r="F7" s="37"/>
      <c r="G7" s="37"/>
      <c r="H7" s="21"/>
      <c r="I7" s="38"/>
      <c r="J7" s="38"/>
      <c r="K7" s="39"/>
      <c r="L7" s="21"/>
      <c r="M7" s="40"/>
      <c r="N7" s="20"/>
      <c r="O7" s="20"/>
      <c r="P7" s="20"/>
      <c r="Q7" s="20"/>
      <c r="R7" s="20"/>
      <c r="S7" s="20"/>
      <c r="T7" s="20"/>
      <c r="U7" s="21"/>
      <c r="V7" s="21"/>
      <c r="W7" s="41">
        <f>SUM(W2:W2)</f>
        <v>24700000</v>
      </c>
      <c r="X7" s="41">
        <f>SUM(X2:X2)</f>
        <v>16899422.157594159</v>
      </c>
      <c r="Y7" s="21"/>
      <c r="Z7" s="21"/>
      <c r="AA7" s="21"/>
    </row>
    <row r="8" spans="1:1021" ht="15.75" x14ac:dyDescent="0.25">
      <c r="A8" s="34"/>
      <c r="B8" s="35"/>
      <c r="C8" s="35"/>
      <c r="D8" s="36"/>
      <c r="E8" s="42">
        <f>SUM(E2:E7)</f>
        <v>21136</v>
      </c>
      <c r="F8" s="42"/>
      <c r="G8" s="42"/>
      <c r="H8" s="43"/>
      <c r="I8" s="42">
        <f>SUM(I2:I7)</f>
        <v>1583.3333333333333</v>
      </c>
      <c r="J8" s="43"/>
      <c r="K8" s="44">
        <f>SUMIF(K2:K6,"&lt;&gt;#ДЕЛ/0!")</f>
        <v>194101.6</v>
      </c>
      <c r="L8" s="45">
        <f>((SUM(L2:L6)/700)*20)+(SUM(L2:L6))</f>
        <v>24535.789714285711</v>
      </c>
      <c r="N8" s="7"/>
      <c r="O8" s="46">
        <f>SUMIF(O2:O6,"&lt;&gt;#ДЕЛ/0!")</f>
        <v>14363518.4</v>
      </c>
      <c r="P8" s="46">
        <f>SUMIF(P2:P6,"&lt;&gt;#ДЕЛ/0!")</f>
        <v>4309055.5199999996</v>
      </c>
      <c r="Q8" s="46">
        <f>SUMIF(Q2:Q6,"&lt;&gt;#ДЕЛ/0!")</f>
        <v>1882922.2222222225</v>
      </c>
      <c r="R8" s="46">
        <f>SUMIF(R2:R6,"&lt;&gt;#ДЕЛ/0!")</f>
        <v>23333.333333333339</v>
      </c>
      <c r="S8" s="46">
        <f>SUMIF(S2:S6,"&lt;&gt;#ДЕЛ/0!")</f>
        <v>20578829.475555554</v>
      </c>
      <c r="T8" s="47"/>
      <c r="U8" s="21"/>
      <c r="X8" s="21"/>
      <c r="Y8" s="21"/>
      <c r="Z8" s="21"/>
      <c r="AA8" s="21"/>
      <c r="AMF8" s="5"/>
      <c r="AMG8" s="5"/>
    </row>
    <row r="9" spans="1:1021" ht="15" x14ac:dyDescent="0.25">
      <c r="K9" s="6"/>
      <c r="L9" s="6"/>
      <c r="N9" s="7"/>
      <c r="O9" s="48" t="s">
        <v>22</v>
      </c>
      <c r="P9" s="48" t="s">
        <v>22</v>
      </c>
      <c r="Q9" s="48" t="s">
        <v>22</v>
      </c>
      <c r="R9" s="48" t="s">
        <v>22</v>
      </c>
      <c r="S9" s="49"/>
      <c r="W9" s="50" t="s">
        <v>23</v>
      </c>
      <c r="X9" s="51">
        <f>(W7-X7)/X7</f>
        <v>0.46158843596320626</v>
      </c>
    </row>
    <row r="10" spans="1:1021" ht="15.75" x14ac:dyDescent="0.25">
      <c r="K10" s="6"/>
      <c r="L10" s="6"/>
      <c r="O10" s="52">
        <f>K8*M2</f>
        <v>14363518.4</v>
      </c>
      <c r="P10" s="53">
        <f>O10*0.3</f>
        <v>4309055.5199999996</v>
      </c>
      <c r="Q10" s="54">
        <f>SUM(P15:P18)</f>
        <v>1936720</v>
      </c>
      <c r="R10" s="54">
        <v>24000</v>
      </c>
      <c r="S10" s="52">
        <f>O10+P10+Q10+R10</f>
        <v>20633293.920000002</v>
      </c>
      <c r="W10" s="41">
        <f>W7-X7</f>
        <v>7800577.8424058408</v>
      </c>
    </row>
    <row r="11" spans="1:1021" x14ac:dyDescent="0.2">
      <c r="K11" s="6"/>
      <c r="L11" s="6"/>
      <c r="M11" s="5"/>
      <c r="P11" s="5"/>
      <c r="Q11" s="5"/>
      <c r="R11" s="5"/>
      <c r="S11" s="5"/>
    </row>
    <row r="12" spans="1:1021" x14ac:dyDescent="0.2">
      <c r="K12" s="6"/>
      <c r="L12" s="6"/>
      <c r="M12" s="5"/>
      <c r="P12" s="5"/>
      <c r="Q12" s="5"/>
      <c r="R12" s="5"/>
      <c r="S12" s="5"/>
    </row>
    <row r="13" spans="1:1021" x14ac:dyDescent="0.2">
      <c r="K13" s="6"/>
      <c r="L13" s="6"/>
      <c r="M13" s="5"/>
      <c r="P13" s="5"/>
      <c r="Q13" s="5"/>
      <c r="R13" s="5"/>
      <c r="S13" s="5"/>
    </row>
    <row r="14" spans="1:1021" x14ac:dyDescent="0.2">
      <c r="K14" s="6"/>
      <c r="L14" s="6"/>
      <c r="M14" s="5"/>
      <c r="P14" s="55"/>
      <c r="Q14" s="5"/>
      <c r="R14" s="5"/>
      <c r="S14" s="5"/>
    </row>
    <row r="15" spans="1:1021" x14ac:dyDescent="0.2">
      <c r="K15" s="57">
        <f>K8*3.67</f>
        <v>712352.87199999997</v>
      </c>
      <c r="L15" s="6"/>
      <c r="M15" s="5"/>
      <c r="O15" s="5" t="s">
        <v>26</v>
      </c>
      <c r="P15" s="5">
        <f>13500*M2+250000</f>
        <v>1249000</v>
      </c>
      <c r="Q15" s="5"/>
      <c r="R15" s="5"/>
      <c r="S15" s="5"/>
    </row>
    <row r="16" spans="1:1021" x14ac:dyDescent="0.2">
      <c r="M16" s="5"/>
      <c r="O16" s="5" t="s">
        <v>27</v>
      </c>
      <c r="P16" s="5">
        <f>E8*20</f>
        <v>422720</v>
      </c>
      <c r="Q16" s="5"/>
      <c r="R16" s="5"/>
      <c r="S16" s="5"/>
    </row>
    <row r="17" spans="13:19" x14ac:dyDescent="0.2">
      <c r="M17" s="5"/>
      <c r="O17" s="5" t="s">
        <v>28</v>
      </c>
      <c r="P17" s="5">
        <f>40000</f>
        <v>40000</v>
      </c>
      <c r="Q17" s="5"/>
      <c r="R17" s="5"/>
      <c r="S17" s="5"/>
    </row>
    <row r="18" spans="13:19" x14ac:dyDescent="0.2">
      <c r="M18" s="5"/>
      <c r="O18" s="5" t="s">
        <v>29</v>
      </c>
      <c r="P18" s="5">
        <f>75000+150000</f>
        <v>225000</v>
      </c>
      <c r="Q18" s="5"/>
      <c r="R18" s="5"/>
      <c r="S18" s="5"/>
    </row>
    <row r="19" spans="13:19" x14ac:dyDescent="0.2">
      <c r="M19" s="5"/>
      <c r="P19" s="5"/>
      <c r="Q19" s="5"/>
      <c r="R19" s="5"/>
      <c r="S19" s="5"/>
    </row>
    <row r="20" spans="13:19" x14ac:dyDescent="0.2">
      <c r="M20" s="5"/>
      <c r="P20" s="5"/>
      <c r="Q20" s="5"/>
      <c r="R20" s="5"/>
      <c r="S20" s="5"/>
    </row>
    <row r="21" spans="13:19" x14ac:dyDescent="0.2">
      <c r="M21" s="5"/>
      <c r="P21" s="5"/>
      <c r="Q21" s="5"/>
      <c r="R21" s="5"/>
      <c r="S21" s="5"/>
    </row>
    <row r="22" spans="13:19" x14ac:dyDescent="0.2">
      <c r="M22" s="5"/>
      <c r="P22" s="5"/>
      <c r="Q22" s="5"/>
      <c r="R22" s="5"/>
      <c r="S22" s="5"/>
    </row>
    <row r="23" spans="13:19" x14ac:dyDescent="0.2">
      <c r="M23" s="5"/>
      <c r="P23" s="5"/>
      <c r="Q23" s="5"/>
      <c r="R23" s="5"/>
      <c r="S23" s="5"/>
    </row>
    <row r="24" spans="13:19" x14ac:dyDescent="0.2">
      <c r="M24" s="5"/>
      <c r="P24" s="5"/>
      <c r="Q24" s="5"/>
      <c r="R24" s="5"/>
      <c r="S24" s="5"/>
    </row>
    <row r="25" spans="13:19" x14ac:dyDescent="0.2">
      <c r="M25" s="5"/>
      <c r="P25" s="5"/>
      <c r="Q25" s="5"/>
      <c r="R25" s="5"/>
      <c r="S25" s="5"/>
    </row>
    <row r="26" spans="13:19" x14ac:dyDescent="0.2">
      <c r="M26" s="5"/>
      <c r="P26" s="5"/>
      <c r="Q26" s="5"/>
      <c r="R26" s="5"/>
      <c r="S26" s="5"/>
    </row>
    <row r="27" spans="13:19" x14ac:dyDescent="0.2">
      <c r="M27" s="5"/>
      <c r="P27" s="5"/>
      <c r="Q27" s="5"/>
      <c r="R27" s="5"/>
      <c r="S27" s="5"/>
    </row>
    <row r="28" spans="13:19" x14ac:dyDescent="0.2">
      <c r="M28" s="5"/>
      <c r="P28" s="5"/>
      <c r="Q28" s="5"/>
      <c r="R28" s="5"/>
      <c r="S28" s="5"/>
    </row>
    <row r="29" spans="13:19" x14ac:dyDescent="0.2">
      <c r="M29" s="5"/>
      <c r="P29" s="5"/>
      <c r="Q29" s="5"/>
      <c r="R29" s="5"/>
      <c r="S29" s="5"/>
    </row>
    <row r="30" spans="13:19" x14ac:dyDescent="0.2">
      <c r="M30" s="5"/>
      <c r="P30" s="5"/>
      <c r="Q30" s="5"/>
      <c r="R30" s="5"/>
      <c r="S30" s="5"/>
    </row>
  </sheetData>
  <conditionalFormatting sqref="V10:V1048576 V1 V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61</cp:revision>
  <dcterms:created xsi:type="dcterms:W3CDTF">2024-10-07T18:09:28Z</dcterms:created>
  <dcterms:modified xsi:type="dcterms:W3CDTF">2026-07-08T10:13:35Z</dcterms:modified>
  <dc:language>ru-RU</dc:language>
</cp:coreProperties>
</file>