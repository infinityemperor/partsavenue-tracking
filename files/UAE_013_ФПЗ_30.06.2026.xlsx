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bb2b71721ea5021/Desktop/РАБОЧАЯ/001 ИМПОРТ/001 containers/2026/001 UAE/UAE#13_APMG/"/>
    </mc:Choice>
  </mc:AlternateContent>
  <xr:revisionPtr revIDLastSave="14" documentId="13_ncr:1_{623B464A-1F11-4B41-8E72-C2F6C469F152}" xr6:coauthVersionLast="47" xr6:coauthVersionMax="47" xr10:uidLastSave="{2177C882-2B6D-4155-8C6C-22149BB9F4F8}"/>
  <bookViews>
    <workbookView xWindow="-120" yWindow="-120" windowWidth="38640" windowHeight="21120" xr2:uid="{00000000-000D-0000-FFFF-FFFF00000000}"/>
  </bookViews>
  <sheets>
    <sheet name="ФПЗ_Э13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9" i="1" l="1"/>
  <c r="Y7" i="1"/>
  <c r="Z7" i="1"/>
  <c r="AA7" i="1"/>
  <c r="AA8" i="1" s="1"/>
  <c r="N11" i="1"/>
  <c r="T7" i="1" s="1"/>
  <c r="R7" i="1"/>
  <c r="Q7" i="1"/>
  <c r="P7" i="1"/>
  <c r="W7" i="1" s="1"/>
  <c r="N7" i="1"/>
  <c r="M7" i="1"/>
  <c r="L7" i="1"/>
  <c r="J7" i="1"/>
  <c r="F7" i="1"/>
  <c r="E11" i="1"/>
  <c r="Z6" i="1"/>
  <c r="AA6" i="1"/>
  <c r="P6" i="1"/>
  <c r="W6" i="1"/>
  <c r="N6" i="1"/>
  <c r="M6" i="1"/>
  <c r="R6" i="1" s="1"/>
  <c r="L6" i="1"/>
  <c r="J6" i="1"/>
  <c r="F6" i="1"/>
  <c r="E4" i="1"/>
  <c r="F3" i="1"/>
  <c r="S7" i="1" l="1"/>
  <c r="U7" i="1" s="1"/>
  <c r="V7" i="1" s="1"/>
  <c r="T6" i="1"/>
  <c r="S6" i="1"/>
  <c r="N12" i="1"/>
  <c r="Q6" i="1"/>
  <c r="U6" i="1" l="1"/>
  <c r="V6" i="1" s="1"/>
  <c r="Y6" i="1" s="1"/>
  <c r="N5" i="1"/>
  <c r="N2" i="1"/>
  <c r="P2" i="1"/>
  <c r="P3" i="1"/>
  <c r="N3" i="1"/>
  <c r="N4" i="1"/>
  <c r="M3" i="1" l="1"/>
  <c r="P4" i="1"/>
  <c r="P5" i="1"/>
  <c r="F4" i="1"/>
  <c r="F5" i="1"/>
  <c r="F2" i="1"/>
  <c r="M4" i="1"/>
  <c r="M5" i="1"/>
  <c r="M2" i="1"/>
  <c r="J5" i="1"/>
  <c r="T13" i="1"/>
  <c r="M11" i="1" l="1"/>
  <c r="AA3" i="1"/>
  <c r="AA4" i="1"/>
  <c r="AA5" i="1"/>
  <c r="Q13" i="1" l="1"/>
  <c r="L5" i="1"/>
  <c r="L3" i="1"/>
  <c r="J3" i="1"/>
  <c r="AA2" i="1"/>
  <c r="L4" i="1"/>
  <c r="L2" i="1"/>
  <c r="J4" i="1"/>
  <c r="U13" i="1" l="1"/>
  <c r="J2" i="1"/>
  <c r="J11" i="1" l="1"/>
  <c r="M24" i="1"/>
  <c r="Q3" i="1" l="1"/>
  <c r="Q5" i="1"/>
  <c r="T5" i="1"/>
  <c r="S5" i="1"/>
  <c r="S4" i="1"/>
  <c r="T3" i="1"/>
  <c r="S3" i="1"/>
  <c r="Q2" i="1"/>
  <c r="S2" i="1"/>
  <c r="S11" i="1" s="1"/>
  <c r="T4" i="1"/>
  <c r="T2" i="1"/>
  <c r="Q4" i="1"/>
  <c r="Q11" i="1" l="1"/>
  <c r="T11" i="1"/>
  <c r="R5" i="1"/>
  <c r="U5" i="1" s="1"/>
  <c r="V5" i="1" s="1"/>
  <c r="R3" i="1"/>
  <c r="U3" i="1" s="1"/>
  <c r="V3" i="1" s="1"/>
  <c r="R4" i="1"/>
  <c r="U4" i="1" s="1"/>
  <c r="V4" i="1" s="1"/>
  <c r="R2" i="1"/>
  <c r="U2" i="1" l="1"/>
  <c r="R11" i="1"/>
  <c r="W2" i="1"/>
  <c r="W4" i="1"/>
  <c r="W5" i="1"/>
  <c r="W3" i="1"/>
  <c r="Y5" i="1"/>
  <c r="AB5" i="1"/>
  <c r="Y4" i="1"/>
  <c r="AB4" i="1"/>
  <c r="Y3" i="1"/>
  <c r="AB3" i="1"/>
  <c r="V2" i="1" l="1"/>
  <c r="U11" i="1"/>
  <c r="AC5" i="1"/>
  <c r="Z5" i="1"/>
  <c r="AC3" i="1"/>
  <c r="Z3" i="1"/>
  <c r="AC4" i="1"/>
  <c r="Z4" i="1"/>
  <c r="AC2" i="1"/>
  <c r="Z2" i="1"/>
  <c r="AC8" i="1" l="1"/>
  <c r="Y2" i="1"/>
  <c r="AB2" i="1"/>
  <c r="AB8" i="1" s="1"/>
  <c r="AB12" i="1" l="1"/>
</calcChain>
</file>

<file path=xl/sharedStrings.xml><?xml version="1.0" encoding="utf-8"?>
<sst xmlns="http://schemas.openxmlformats.org/spreadsheetml/2006/main" count="53" uniqueCount="48">
  <si>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</si>
  <si>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</si>
  <si>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</si>
  <si>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</si>
  <si>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</si>
  <si>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</si>
  <si>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</si>
  <si>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</si>
  <si>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</si>
  <si>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</si>
  <si>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</si>
  <si>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</si>
  <si>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</si>
  <si>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</si>
  <si>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</si>
  <si>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</si>
  <si>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</si>
  <si>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</si>
  <si>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</si>
  <si>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</si>
  <si>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</si>
  <si>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BMW</t>
  </si>
  <si>
    <t>Общий вес с паллетами</t>
  </si>
  <si>
    <t>введите</t>
  </si>
  <si>
    <t xml:space="preserve">Ожидаемый % рент. </t>
  </si>
  <si>
    <t>Mitsubishi</t>
  </si>
  <si>
    <t>MZ321232</t>
  </si>
  <si>
    <t>Цена за ШТ (Закупка в валюте поставщика) + КМ</t>
  </si>
  <si>
    <t>До корректировки</t>
  </si>
  <si>
    <t>Разница</t>
  </si>
  <si>
    <t>MZ321232|Масло моторное|Mitsubishi|GF-6A/SP|5W-30|Синтетическое|ОАЭ|3x4л</t>
  </si>
  <si>
    <t>Новый себес</t>
  </si>
  <si>
    <t>Обзий объем</t>
  </si>
  <si>
    <t>Новая рентабельность</t>
  </si>
  <si>
    <t>83215B5BFA4</t>
  </si>
  <si>
    <t>Заказ из ящика №7</t>
  </si>
  <si>
    <t>TOYOTA</t>
  </si>
  <si>
    <t>Артикул</t>
  </si>
  <si>
    <t>MZ321233</t>
  </si>
  <si>
    <t>83215B5BFA4|Масло моторное|BMW|LL-04|5W-30|Синтетическое|Германия|12x1л</t>
  </si>
  <si>
    <t>0888681885</t>
  </si>
  <si>
    <t>0888681885|Масло трансмиссионное ATF|TOYOTA|WS|Синтетическое|Таиланд|4x4л</t>
  </si>
  <si>
    <t>MZ321233|Масло моторное|Mitsubishi|GF-6A/SP|5W-30|Синтетическое|ОАЭ|3x4л</t>
  </si>
  <si>
    <t>KLAP505304</t>
  </si>
  <si>
    <t>NISSAN</t>
  </si>
  <si>
    <t>NISSAN SP STRONG SAVE X SAE 5W-30 (4лх6шт)</t>
  </si>
  <si>
    <t>KLAN505301</t>
  </si>
  <si>
    <t>5W30 1L МАСЛО МОТОРНОЕ Strong Save X API: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</si>
</sst>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</numFmts>
  <fonts count="14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9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165" fontId="12" fillId="0" borderId="0" xfId="0" applyNumberFormat="1" applyFont="1" applyBorder="1" applyAlignment="1" applyProtection="1">
      <alignment horizontal="right" vertical="center" wrapText="1"/>
    </xf>
    <xf numFmtId="0" fontId="13" fillId="8" borderId="2" xfId="0" applyFont="1" applyFill="1" applyBorder="1" applyAlignment="1">
      <alignment horizontal="center" vertical="center"/>
    </xf>
    <xf numFmtId="10" fontId="13" fillId="8" borderId="2" xfId="3" applyNumberFormat="1" applyFont="1" applyFill="1" applyBorder="1" applyAlignment="1" applyProtection="1">
      <alignment horizontal="center" vertical="center"/>
    </xf>
    <xf numFmtId="173" fontId="7" fillId="0" borderId="0" xfId="0" applyNumberFormat="1" applyFont="1" applyAlignment="1" applyProtection="1">
      <alignment horizontal="center" wrapText="1"/>
    </xf>
    <xf numFmtId="168" fontId="6" fillId="9" borderId="4" xfId="0" applyNumberFormat="1" applyFont="1" applyFill="1" applyBorder="1" applyAlignment="1" applyProtection="1">
      <alignment horizontal="right" vertical="center" wrapText="1"/>
    </xf>
    <xf numFmtId="169" fontId="1" fillId="9" borderId="4" xfId="3" applyNumberFormat="1" applyFont="1" applyFill="1" applyBorder="1" applyProtection="1"/>
    <xf numFmtId="169" fontId="1" fillId="0" borderId="0" xfId="3" applyNumberFormat="1" applyProtection="1"/>
    <xf numFmtId="49" fontId="2" fillId="10" borderId="0" xfId="0" applyNumberFormat="1" applyFont="1" applyFill="1" applyAlignment="1" applyProtection="1">
      <alignment vertical="center"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K33"/>
  <sheetViews>
    <sheetView tabSelected="1" zoomScaleNormal="100" workbookViewId="0">
      <pane xSplit="5" ySplit="1" topLeftCell="F2" activePane="bottomRight" state="frozen"/>
      <selection sqref="A1:H5"/>
      <selection pane="topRight"/>
      <selection pane="bottomLeft"/>
      <selection pane="bottomRight" activeCell="G29" sqref="G29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94.85546875" style="2" customWidth="1"/>
    <col min="4" max="4" width="11.7109375" style="3" customWidth="1"/>
    <col min="5" max="8" width="10.85546875" style="4" customWidth="1"/>
    <col min="9" max="9" width="10.42578125" style="5" customWidth="1"/>
    <col min="10" max="10" width="10.7109375" style="6" customWidth="1"/>
    <col min="11" max="12" width="22.28515625" style="6" bestFit="1" customWidth="1"/>
    <col min="13" max="13" width="16.42578125" style="7" customWidth="1"/>
    <col min="14" max="14" width="11.5703125" style="5"/>
    <col min="15" max="15" width="11.5703125" style="7"/>
    <col min="16" max="16" width="12.5703125" style="5" customWidth="1"/>
    <col min="17" max="17" width="18.5703125" style="5" customWidth="1"/>
    <col min="18" max="19" width="17.5703125" style="7" customWidth="1"/>
    <col min="20" max="20" width="14.140625" style="7" customWidth="1"/>
    <col min="21" max="21" width="21.5703125" style="7" customWidth="1"/>
    <col min="22" max="23" width="16" style="5" customWidth="1"/>
    <col min="24" max="24" width="17.5703125" style="5" customWidth="1"/>
    <col min="25" max="26" width="19.140625" style="5" customWidth="1"/>
    <col min="27" max="27" width="34.42578125" style="5" customWidth="1"/>
    <col min="28" max="28" width="28" style="5" customWidth="1"/>
    <col min="29" max="29" width="15.7109375" style="5" customWidth="1"/>
    <col min="30" max="30" width="11.5703125" style="5"/>
    <col min="31" max="31" width="44.140625" style="5" customWidth="1"/>
    <col min="32" max="1023" width="11.5703125" style="5"/>
    <col min="1024" max="1025" width="11.5703125" style="8"/>
  </cols>
  <sheetData>
    <row r="1" spans="1:1025" ht="60.75" customHeight="1" x14ac:dyDescent="0.25">
      <c r="A1" s="9" t="s">
        <v>37</v>
      </c>
      <c r="B1" s="10" t="s">
        <v>0</v>
      </c>
      <c r="C1" s="10" t="s">
        <v>1</v>
      </c>
      <c r="D1" s="11" t="s">
        <v>2</v>
      </c>
      <c r="E1" s="12" t="s">
        <v>3</v>
      </c>
      <c r="F1" s="12" t="s">
        <v>32</v>
      </c>
      <c r="G1" s="12" t="s">
        <v>28</v>
      </c>
      <c r="H1" s="12" t="s">
        <v>29</v>
      </c>
      <c r="I1" s="10" t="s">
        <v>4</v>
      </c>
      <c r="J1" s="10" t="s">
        <v>5</v>
      </c>
      <c r="K1" s="10" t="s">
        <v>6</v>
      </c>
      <c r="L1" s="10" t="s">
        <v>27</v>
      </c>
      <c r="M1" s="13" t="s">
        <v>7</v>
      </c>
      <c r="N1" s="14" t="s">
        <v>8</v>
      </c>
      <c r="O1" s="11" t="s">
        <v>9</v>
      </c>
      <c r="P1" s="15" t="s">
        <v>10</v>
      </c>
      <c r="Q1" s="16" t="s">
        <v>11</v>
      </c>
      <c r="R1" s="17" t="s">
        <v>12</v>
      </c>
      <c r="S1" s="17" t="s">
        <v>13</v>
      </c>
      <c r="T1" s="17" t="s">
        <v>14</v>
      </c>
      <c r="U1" s="17" t="s">
        <v>15</v>
      </c>
      <c r="V1" s="18" t="s">
        <v>16</v>
      </c>
      <c r="W1" s="18" t="s">
        <v>31</v>
      </c>
      <c r="X1" s="19" t="s">
        <v>17</v>
      </c>
      <c r="Y1" s="20" t="s">
        <v>18</v>
      </c>
      <c r="Z1" s="20" t="s">
        <v>33</v>
      </c>
      <c r="AA1" s="20" t="s">
        <v>19</v>
      </c>
      <c r="AB1" s="20" t="s">
        <v>20</v>
      </c>
      <c r="AC1" s="21"/>
      <c r="AD1" s="21"/>
      <c r="AE1" s="21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</row>
    <row r="2" spans="1:1025" ht="15.75" x14ac:dyDescent="0.25">
      <c r="A2" s="68" t="s">
        <v>34</v>
      </c>
      <c r="B2" s="23" t="s">
        <v>21</v>
      </c>
      <c r="C2" s="24" t="s">
        <v>39</v>
      </c>
      <c r="D2" s="25">
        <v>1</v>
      </c>
      <c r="E2" s="25">
        <v>10000</v>
      </c>
      <c r="F2" s="25">
        <f>E2*D2</f>
        <v>10000</v>
      </c>
      <c r="G2" s="25"/>
      <c r="H2" s="25"/>
      <c r="I2" s="25">
        <v>12</v>
      </c>
      <c r="J2" s="25">
        <f t="shared" ref="J2:J5" si="0">E2/I2</f>
        <v>833.33333333333337</v>
      </c>
      <c r="K2" s="26">
        <v>9</v>
      </c>
      <c r="L2" s="26">
        <f>K2+17/O2</f>
        <v>9.2138364779874209</v>
      </c>
      <c r="M2" s="26">
        <f>K2*E2</f>
        <v>90000</v>
      </c>
      <c r="N2" s="27">
        <f>D2*E2*0.94</f>
        <v>9400</v>
      </c>
      <c r="O2" s="23">
        <v>79.5</v>
      </c>
      <c r="P2" s="28">
        <f>K2*O2</f>
        <v>715.5</v>
      </c>
      <c r="Q2" s="28">
        <f t="shared" ref="Q2:Q7" si="1">$Q$13/$M$11*M2</f>
        <v>7155000</v>
      </c>
      <c r="R2" s="28">
        <f t="shared" ref="R2:R7" si="2">$R$13/$M$11*M2</f>
        <v>1884249.9543212133</v>
      </c>
      <c r="S2" s="28">
        <f t="shared" ref="S2:S7" si="3">$S$13/$N$11*N2</f>
        <v>759940.84784751898</v>
      </c>
      <c r="T2" s="28">
        <f t="shared" ref="T2:T7" si="4">$T$13/$N$11*N2</f>
        <v>22592.836017088404</v>
      </c>
      <c r="U2" s="28">
        <f t="shared" ref="U2:U4" si="5">Q2+R2+S2+T2</f>
        <v>9821783.6381858215</v>
      </c>
      <c r="V2" s="29">
        <f>IFERROR(SUM(U2/E2),"")</f>
        <v>982.17836381858217</v>
      </c>
      <c r="W2" s="64">
        <f t="shared" ref="W2:W7" si="6">P2*($U$13 / $Q$11)</f>
        <v>1012.697606431573</v>
      </c>
      <c r="X2" s="30">
        <v>1300</v>
      </c>
      <c r="Y2" s="31">
        <f>IFERROR((X2-V2)/V2,"")</f>
        <v>0.32358851293136665</v>
      </c>
      <c r="Z2" s="65">
        <f>(X2-W2)/W2</f>
        <v>0.28370008158781967</v>
      </c>
      <c r="AA2" s="32">
        <f t="shared" ref="AA2:AA7" si="7">X2*E2</f>
        <v>13000000</v>
      </c>
      <c r="AB2" s="32">
        <f t="shared" ref="AB2:AB5" si="8">IFERROR(V2*E2,"")</f>
        <v>9821783.6381858215</v>
      </c>
      <c r="AC2" s="63">
        <f>W2*E2</f>
        <v>10126976.064315731</v>
      </c>
      <c r="AD2" s="21"/>
      <c r="AE2" s="21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</row>
    <row r="3" spans="1:1025" ht="15.75" x14ac:dyDescent="0.25">
      <c r="A3" s="68" t="s">
        <v>40</v>
      </c>
      <c r="B3" s="23" t="s">
        <v>36</v>
      </c>
      <c r="C3" s="24" t="s">
        <v>41</v>
      </c>
      <c r="D3" s="25">
        <v>4</v>
      </c>
      <c r="E3" s="25">
        <v>1440</v>
      </c>
      <c r="F3" s="25">
        <f>E3*D3</f>
        <v>5760</v>
      </c>
      <c r="G3" s="25"/>
      <c r="H3" s="25"/>
      <c r="I3" s="25">
        <v>4</v>
      </c>
      <c r="J3" s="25">
        <f t="shared" si="0"/>
        <v>360</v>
      </c>
      <c r="K3" s="26">
        <v>26.5</v>
      </c>
      <c r="L3" s="26">
        <f>K3+17/O3</f>
        <v>26.713836477987421</v>
      </c>
      <c r="M3" s="26">
        <f t="shared" ref="M3:M5" si="9">K3*E3</f>
        <v>38160</v>
      </c>
      <c r="N3" s="27">
        <f t="shared" ref="N3:N5" si="10">D3*E3*0.94</f>
        <v>5414.4</v>
      </c>
      <c r="O3" s="23">
        <v>79.5</v>
      </c>
      <c r="P3" s="28">
        <f t="shared" ref="P3:P5" si="11">K3*O3</f>
        <v>2106.75</v>
      </c>
      <c r="Q3" s="28">
        <f t="shared" si="1"/>
        <v>3033720</v>
      </c>
      <c r="R3" s="28">
        <f t="shared" si="2"/>
        <v>798921.98063219443</v>
      </c>
      <c r="S3" s="28">
        <f t="shared" si="3"/>
        <v>437725.92836017092</v>
      </c>
      <c r="T3" s="28">
        <f t="shared" si="4"/>
        <v>13013.473545842919</v>
      </c>
      <c r="U3" s="28">
        <f t="shared" ref="U3" si="12">Q3+R3+S3+T3</f>
        <v>4283381.3825382078</v>
      </c>
      <c r="V3" s="29">
        <f t="shared" ref="V3" si="13">IFERROR(SUM(U3/E3),"")</f>
        <v>2974.5704045404223</v>
      </c>
      <c r="W3" s="64">
        <f t="shared" si="6"/>
        <v>2981.8318411596319</v>
      </c>
      <c r="X3" s="30">
        <v>3670</v>
      </c>
      <c r="Y3" s="31">
        <f>IFERROR((X3-V3)/V3,"")</f>
        <v>0.23379160715041913</v>
      </c>
      <c r="Z3" s="65">
        <f t="shared" ref="Z3:Z7" si="14">(X3-W3)/W3</f>
        <v>0.2307870448431257</v>
      </c>
      <c r="AA3" s="32">
        <f t="shared" si="7"/>
        <v>5284800</v>
      </c>
      <c r="AB3" s="32">
        <f t="shared" si="8"/>
        <v>4283381.3825382078</v>
      </c>
      <c r="AC3" s="63">
        <f t="shared" ref="AC3:AC5" si="15">W3*E3</f>
        <v>4293837.8512698701</v>
      </c>
      <c r="AD3" s="21"/>
      <c r="AE3" s="21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spans="1:1025" ht="30" customHeight="1" x14ac:dyDescent="0.25">
      <c r="A4" s="68" t="s">
        <v>26</v>
      </c>
      <c r="B4" s="23" t="s">
        <v>25</v>
      </c>
      <c r="C4" s="24" t="s">
        <v>30</v>
      </c>
      <c r="D4" s="25">
        <v>4</v>
      </c>
      <c r="E4" s="25">
        <f>144*10</f>
        <v>1440</v>
      </c>
      <c r="F4" s="25">
        <f t="shared" ref="F4:F5" si="16">E4*D4</f>
        <v>5760</v>
      </c>
      <c r="G4" s="25"/>
      <c r="H4" s="25"/>
      <c r="I4" s="25">
        <v>3</v>
      </c>
      <c r="J4" s="25">
        <f t="shared" si="0"/>
        <v>480</v>
      </c>
      <c r="K4" s="26">
        <v>17.670000000000002</v>
      </c>
      <c r="L4" s="26">
        <f t="shared" ref="L4" si="17">K4+17/O4</f>
        <v>17.883836477987423</v>
      </c>
      <c r="M4" s="26">
        <f t="shared" si="9"/>
        <v>25444.800000000003</v>
      </c>
      <c r="N4" s="27">
        <f t="shared" si="10"/>
        <v>5414.4</v>
      </c>
      <c r="O4" s="23">
        <v>79.5</v>
      </c>
      <c r="P4" s="28">
        <f t="shared" si="11"/>
        <v>1404.7650000000001</v>
      </c>
      <c r="Q4" s="28">
        <f t="shared" si="1"/>
        <v>2022861.6000000003</v>
      </c>
      <c r="R4" s="28">
        <f t="shared" si="2"/>
        <v>532715.14708569355</v>
      </c>
      <c r="S4" s="28">
        <f t="shared" si="3"/>
        <v>437725.92836017092</v>
      </c>
      <c r="T4" s="28">
        <f t="shared" si="4"/>
        <v>13013.473545842919</v>
      </c>
      <c r="U4" s="28">
        <f t="shared" si="5"/>
        <v>3006316.1489917077</v>
      </c>
      <c r="V4" s="29">
        <f>IFERROR(SUM(U4/E4),"")</f>
        <v>2087.7195479109082</v>
      </c>
      <c r="W4" s="64">
        <f t="shared" si="6"/>
        <v>1988.2629672939886</v>
      </c>
      <c r="X4" s="30">
        <v>3490</v>
      </c>
      <c r="Y4" s="31">
        <f t="shared" ref="Y4:Y7" si="18">IFERROR((X4-V4)/V4,"")</f>
        <v>0.67168047235668893</v>
      </c>
      <c r="Z4" s="65">
        <f t="shared" si="14"/>
        <v>0.75530101269746253</v>
      </c>
      <c r="AA4" s="32">
        <f t="shared" si="7"/>
        <v>5025600</v>
      </c>
      <c r="AB4" s="32">
        <f t="shared" si="8"/>
        <v>3006316.1489917077</v>
      </c>
      <c r="AC4" s="63">
        <f t="shared" si="15"/>
        <v>2863098.6729033436</v>
      </c>
      <c r="AD4" s="21"/>
      <c r="AE4" s="21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</row>
    <row r="5" spans="1:1025" ht="30" customHeight="1" x14ac:dyDescent="0.25">
      <c r="A5" s="68" t="s">
        <v>38</v>
      </c>
      <c r="B5" s="23" t="s">
        <v>25</v>
      </c>
      <c r="C5" s="24" t="s">
        <v>42</v>
      </c>
      <c r="D5" s="25">
        <v>1</v>
      </c>
      <c r="E5" s="25">
        <v>720</v>
      </c>
      <c r="F5" s="25">
        <f t="shared" si="16"/>
        <v>720</v>
      </c>
      <c r="G5" s="25"/>
      <c r="H5" s="25"/>
      <c r="I5" s="25">
        <v>12</v>
      </c>
      <c r="J5" s="25">
        <f t="shared" si="0"/>
        <v>60</v>
      </c>
      <c r="K5" s="26">
        <v>5.58</v>
      </c>
      <c r="L5" s="26">
        <f t="shared" ref="L5" si="19">K5+17/O5</f>
        <v>5.7938364779874219</v>
      </c>
      <c r="M5" s="26">
        <f t="shared" si="9"/>
        <v>4017.6</v>
      </c>
      <c r="N5" s="27">
        <f t="shared" si="10"/>
        <v>676.8</v>
      </c>
      <c r="O5" s="23">
        <v>79.5</v>
      </c>
      <c r="P5" s="28">
        <f t="shared" si="11"/>
        <v>443.61</v>
      </c>
      <c r="Q5" s="28">
        <f t="shared" si="1"/>
        <v>319399.2</v>
      </c>
      <c r="R5" s="28">
        <f t="shared" si="2"/>
        <v>84112.917960898965</v>
      </c>
      <c r="S5" s="28">
        <f t="shared" si="3"/>
        <v>54715.741045021365</v>
      </c>
      <c r="T5" s="28">
        <f t="shared" si="4"/>
        <v>1626.6841932303648</v>
      </c>
      <c r="U5" s="28">
        <f t="shared" ref="U5" si="20">Q5+R5+S5+T5</f>
        <v>459854.54319915071</v>
      </c>
      <c r="V5" s="29">
        <f t="shared" ref="V5" si="21">IFERROR(SUM(U5/E5),"")</f>
        <v>638.68686555437603</v>
      </c>
      <c r="W5" s="64">
        <f t="shared" si="6"/>
        <v>627.8725159875753</v>
      </c>
      <c r="X5" s="30">
        <v>930</v>
      </c>
      <c r="Y5" s="31">
        <f t="shared" si="18"/>
        <v>0.45611261191783875</v>
      </c>
      <c r="Z5" s="65">
        <f t="shared" si="14"/>
        <v>0.4811924018320996</v>
      </c>
      <c r="AA5" s="32">
        <f t="shared" si="7"/>
        <v>669600</v>
      </c>
      <c r="AB5" s="32">
        <f t="shared" si="8"/>
        <v>459854.54319915076</v>
      </c>
      <c r="AC5" s="63">
        <f t="shared" si="15"/>
        <v>452068.21151105419</v>
      </c>
      <c r="AD5" s="21"/>
      <c r="AE5" s="21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</row>
    <row r="6" spans="1:1025" ht="30" customHeight="1" x14ac:dyDescent="0.25">
      <c r="A6" s="68" t="s">
        <v>43</v>
      </c>
      <c r="B6" s="23" t="s">
        <v>44</v>
      </c>
      <c r="C6" s="24" t="s">
        <v>45</v>
      </c>
      <c r="D6" s="25">
        <v>4</v>
      </c>
      <c r="E6" s="25">
        <v>496</v>
      </c>
      <c r="F6" s="25">
        <f t="shared" ref="F6:F7" si="22">E6*D6</f>
        <v>1984</v>
      </c>
      <c r="G6" s="25"/>
      <c r="H6" s="25"/>
      <c r="I6" s="25">
        <v>6</v>
      </c>
      <c r="J6" s="25">
        <f t="shared" ref="J6" si="23">E6/I6</f>
        <v>82.666666666666671</v>
      </c>
      <c r="K6" s="26">
        <v>26.79</v>
      </c>
      <c r="L6" s="26">
        <f t="shared" ref="L6" si="24">K6+17/O6</f>
        <v>27.00383647798742</v>
      </c>
      <c r="M6" s="26">
        <f t="shared" ref="M6" si="25">K6*E6</f>
        <v>13287.84</v>
      </c>
      <c r="N6" s="27">
        <f t="shared" ref="N6" si="26">D6*E6*0.94</f>
        <v>1864.9599999999998</v>
      </c>
      <c r="O6" s="23">
        <v>79.5</v>
      </c>
      <c r="P6" s="28">
        <f>K6*O6</f>
        <v>2129.8049999999998</v>
      </c>
      <c r="Q6" s="28">
        <f t="shared" si="1"/>
        <v>1056383.28</v>
      </c>
      <c r="R6" s="28">
        <f t="shared" si="2"/>
        <v>278195.68792252883</v>
      </c>
      <c r="S6" s="28">
        <f t="shared" si="3"/>
        <v>150772.26421294775</v>
      </c>
      <c r="T6" s="28">
        <f t="shared" si="4"/>
        <v>4482.4186657903392</v>
      </c>
      <c r="U6" s="28">
        <f t="shared" ref="U6" si="27">Q6+R6+S6+T6</f>
        <v>1489833.6508012668</v>
      </c>
      <c r="V6" s="29">
        <f t="shared" ref="V6" si="28">IFERROR(SUM(U6/E6),"")</f>
        <v>3003.6968766154573</v>
      </c>
      <c r="W6" s="64">
        <f t="shared" si="6"/>
        <v>3014.4632084779823</v>
      </c>
      <c r="X6" s="30">
        <v>3670</v>
      </c>
      <c r="Y6" s="31">
        <f t="shared" si="18"/>
        <v>0.22182768460155938</v>
      </c>
      <c r="Z6" s="65">
        <f t="shared" si="14"/>
        <v>0.21746385548125549</v>
      </c>
      <c r="AA6" s="32">
        <f t="shared" si="7"/>
        <v>1820320</v>
      </c>
      <c r="AB6" s="32"/>
      <c r="AC6" s="63"/>
      <c r="AD6" s="21"/>
      <c r="AE6" s="21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  <c r="AMK6" s="22"/>
    </row>
    <row r="7" spans="1:1025" ht="30" customHeight="1" x14ac:dyDescent="0.25">
      <c r="A7" s="68" t="s">
        <v>46</v>
      </c>
      <c r="B7" s="23" t="s">
        <v>44</v>
      </c>
      <c r="C7" s="24" t="s">
        <v>47</v>
      </c>
      <c r="D7" s="25">
        <v>1</v>
      </c>
      <c r="E7" s="25">
        <v>120</v>
      </c>
      <c r="F7" s="25">
        <f t="shared" si="22"/>
        <v>120</v>
      </c>
      <c r="G7" s="25"/>
      <c r="H7" s="25"/>
      <c r="I7" s="25">
        <v>12</v>
      </c>
      <c r="J7" s="25">
        <f t="shared" ref="J7" si="29">E7/I7</f>
        <v>10</v>
      </c>
      <c r="K7" s="26">
        <v>4.45</v>
      </c>
      <c r="L7" s="26">
        <f t="shared" ref="L7" si="30">K7+17/O7</f>
        <v>4.663836477987422</v>
      </c>
      <c r="M7" s="26">
        <f t="shared" ref="M7" si="31">K7*E7</f>
        <v>534</v>
      </c>
      <c r="N7" s="27">
        <f t="shared" ref="N7" si="32">D7*E7*0.94</f>
        <v>112.8</v>
      </c>
      <c r="O7" s="23">
        <v>79.5</v>
      </c>
      <c r="P7" s="28">
        <f>K7*O7</f>
        <v>353.77500000000003</v>
      </c>
      <c r="Q7" s="28">
        <f t="shared" si="1"/>
        <v>42453</v>
      </c>
      <c r="R7" s="28">
        <f t="shared" si="2"/>
        <v>11179.883062305866</v>
      </c>
      <c r="S7" s="28">
        <f t="shared" si="3"/>
        <v>9119.2901741702281</v>
      </c>
      <c r="T7" s="28">
        <f t="shared" si="4"/>
        <v>271.11403220506082</v>
      </c>
      <c r="U7" s="28">
        <f t="shared" ref="U7" si="33">Q7+R7+S7+T7</f>
        <v>63023.287268681161</v>
      </c>
      <c r="V7" s="29">
        <f t="shared" ref="V7" si="34">IFERROR(SUM(U7/E7),"")</f>
        <v>525.19406057234301</v>
      </c>
      <c r="W7" s="64">
        <f t="shared" si="6"/>
        <v>500.72270540227782</v>
      </c>
      <c r="X7" s="30">
        <v>1400</v>
      </c>
      <c r="Y7" s="31">
        <f t="shared" si="18"/>
        <v>1.6656813263926022</v>
      </c>
      <c r="Z7" s="65">
        <f t="shared" si="14"/>
        <v>1.7959586910987946</v>
      </c>
      <c r="AA7" s="32">
        <f t="shared" si="7"/>
        <v>168000</v>
      </c>
      <c r="AB7" s="32"/>
      <c r="AC7" s="63"/>
      <c r="AD7" s="21"/>
      <c r="AE7" s="21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  <c r="AMI7" s="22"/>
      <c r="AMJ7" s="22"/>
      <c r="AMK7" s="22"/>
    </row>
    <row r="8" spans="1:1025" ht="15.75" x14ac:dyDescent="0.25">
      <c r="A8" s="46"/>
      <c r="B8" s="47"/>
      <c r="C8" s="48"/>
      <c r="D8" s="49"/>
      <c r="E8" s="49"/>
      <c r="F8" s="49"/>
      <c r="G8" s="49"/>
      <c r="H8" s="49"/>
      <c r="I8" s="49"/>
      <c r="J8" s="49"/>
      <c r="K8" s="49"/>
      <c r="L8" s="50"/>
      <c r="M8" s="50"/>
      <c r="N8" s="57"/>
      <c r="O8" s="47"/>
      <c r="P8" s="51"/>
      <c r="Q8" s="51"/>
      <c r="R8" s="51"/>
      <c r="S8" s="51"/>
      <c r="T8" s="33"/>
      <c r="U8" s="51"/>
      <c r="V8" s="52"/>
      <c r="W8" s="52"/>
      <c r="X8" s="57"/>
      <c r="Y8" s="53"/>
      <c r="Z8" s="53"/>
      <c r="AA8" s="60">
        <f>SUM(AA2:AA7)</f>
        <v>25968320</v>
      </c>
      <c r="AB8" s="60">
        <f>SUM(AB2:AB5)</f>
        <v>17571335.712914888</v>
      </c>
      <c r="AC8" s="63">
        <f>SUM(AC2:AC5)</f>
        <v>17735980.799999997</v>
      </c>
      <c r="AD8" s="21"/>
      <c r="AE8" s="21"/>
    </row>
    <row r="9" spans="1:1025" ht="15.75" x14ac:dyDescent="0.25">
      <c r="A9" s="46"/>
      <c r="B9" s="47"/>
      <c r="C9" s="48"/>
      <c r="D9" s="49"/>
      <c r="E9" s="49"/>
      <c r="F9" s="49"/>
      <c r="G9" s="49"/>
      <c r="H9" s="49"/>
      <c r="I9" s="49"/>
      <c r="J9" s="49"/>
      <c r="K9" s="49"/>
      <c r="L9" s="50"/>
      <c r="M9" s="50"/>
      <c r="N9" s="57"/>
      <c r="O9" s="47"/>
      <c r="P9" s="51"/>
      <c r="Q9" s="51"/>
      <c r="R9" s="51"/>
      <c r="S9" s="51"/>
      <c r="T9" s="33"/>
      <c r="U9" s="51"/>
      <c r="V9" s="52"/>
      <c r="W9" s="52"/>
      <c r="X9" s="57"/>
      <c r="Y9" s="53"/>
      <c r="Z9" s="53"/>
      <c r="AA9" s="54"/>
      <c r="AB9" s="54"/>
      <c r="AC9" s="21"/>
      <c r="AD9" s="21"/>
      <c r="AE9" s="21"/>
    </row>
    <row r="10" spans="1:1025" ht="15.75" x14ac:dyDescent="0.25">
      <c r="A10" s="46"/>
      <c r="B10" s="47"/>
      <c r="C10" s="48"/>
      <c r="D10" s="49"/>
      <c r="E10" s="49"/>
      <c r="F10" s="49"/>
      <c r="G10" s="49"/>
      <c r="H10" s="49"/>
      <c r="I10" s="49"/>
      <c r="J10" s="49"/>
      <c r="K10" s="49"/>
      <c r="L10" s="50"/>
      <c r="M10" s="50"/>
      <c r="N10" s="57"/>
      <c r="O10" s="47"/>
      <c r="P10" s="51"/>
      <c r="Q10" s="51"/>
      <c r="R10" s="51"/>
      <c r="S10" s="51"/>
      <c r="T10" s="33"/>
      <c r="U10" s="51"/>
      <c r="V10" s="52"/>
      <c r="W10" s="52"/>
      <c r="X10" s="57"/>
      <c r="Y10" s="53"/>
      <c r="Z10" s="53"/>
      <c r="AA10" s="54"/>
      <c r="AB10" s="54"/>
      <c r="AC10" s="21"/>
      <c r="AD10" s="21"/>
      <c r="AE10" s="21"/>
    </row>
    <row r="11" spans="1:1025" ht="15.75" x14ac:dyDescent="0.25">
      <c r="A11" s="34"/>
      <c r="B11" s="35"/>
      <c r="C11" s="35"/>
      <c r="D11" s="36"/>
      <c r="E11" s="37">
        <f>SUM(E2:E7)</f>
        <v>14216</v>
      </c>
      <c r="F11" s="37"/>
      <c r="G11" s="37"/>
      <c r="H11" s="37"/>
      <c r="I11" s="38"/>
      <c r="J11" s="37">
        <f>SUM(J2:J5)</f>
        <v>1733.3333333333335</v>
      </c>
      <c r="K11" s="37"/>
      <c r="L11" s="38"/>
      <c r="M11" s="58">
        <f>SUMIF(M2:M5,"&lt;&gt;#ДЕЛ/0!")</f>
        <v>157622.39999999999</v>
      </c>
      <c r="N11" s="59">
        <f>SUM(N2:N7)</f>
        <v>22883.359999999997</v>
      </c>
      <c r="P11" s="7"/>
      <c r="Q11" s="39">
        <f>SUMIF(Q2:Q5,"&lt;&gt;#ДЕЛ/0!")</f>
        <v>12530980.799999999</v>
      </c>
      <c r="R11" s="39">
        <f>SUMIF(R2:R5,"&lt;&gt;#ДЕЛ/0!")</f>
        <v>3300000.0000000005</v>
      </c>
      <c r="S11" s="39">
        <f>SUMIF(S2:S5,"&lt;&gt;#ДЕЛ/0!")</f>
        <v>1690108.4456128823</v>
      </c>
      <c r="T11" s="39">
        <f>SUMIF(T2:T5,"&lt;&gt;#ДЕЛ/0!")</f>
        <v>50246.46730200461</v>
      </c>
      <c r="U11" s="39">
        <f>SUMIF(U2:U5,"&lt;&gt;#ДЕЛ/0!")</f>
        <v>17571335.712914888</v>
      </c>
      <c r="V11" s="40"/>
      <c r="W11" s="40"/>
      <c r="X11" s="21"/>
      <c r="AB11" s="21"/>
      <c r="AC11" s="21"/>
      <c r="AD11" s="21"/>
      <c r="AE11" s="21"/>
      <c r="AMJ11" s="5"/>
      <c r="AMK11" s="5"/>
    </row>
    <row r="12" spans="1:1025" ht="30" x14ac:dyDescent="0.25">
      <c r="A12" s="67" t="s">
        <v>35</v>
      </c>
      <c r="M12" s="55" t="s">
        <v>22</v>
      </c>
      <c r="N12" s="56">
        <f>N11+42*18</f>
        <v>23639.359999999997</v>
      </c>
      <c r="P12" s="7"/>
      <c r="Q12" s="41" t="s">
        <v>23</v>
      </c>
      <c r="R12" s="41" t="s">
        <v>23</v>
      </c>
      <c r="S12" s="41" t="s">
        <v>23</v>
      </c>
      <c r="T12" s="41" t="s">
        <v>23</v>
      </c>
      <c r="U12" s="42"/>
      <c r="AA12" s="61" t="s">
        <v>24</v>
      </c>
      <c r="AB12" s="62">
        <f>(AA8-AB8)/AB8</f>
        <v>0.47787967996726338</v>
      </c>
    </row>
    <row r="13" spans="1:1025" ht="15.75" x14ac:dyDescent="0.25">
      <c r="M13" s="6"/>
      <c r="N13" s="6"/>
      <c r="Q13" s="43">
        <f>M11*O2</f>
        <v>12530980.799999999</v>
      </c>
      <c r="R13" s="43">
        <v>3300000</v>
      </c>
      <c r="S13" s="44">
        <v>1850000</v>
      </c>
      <c r="T13" s="44">
        <f>40000+15000</f>
        <v>55000</v>
      </c>
      <c r="U13" s="43">
        <f>Q13+R13+S13+T13</f>
        <v>17735980.799999997</v>
      </c>
    </row>
    <row r="14" spans="1:1025" x14ac:dyDescent="0.2">
      <c r="M14" s="6"/>
      <c r="N14" s="6"/>
      <c r="O14" s="5"/>
      <c r="R14" s="5"/>
      <c r="S14" s="5"/>
      <c r="T14" s="5"/>
      <c r="U14" s="5"/>
    </row>
    <row r="15" spans="1:1025" x14ac:dyDescent="0.2">
      <c r="M15" s="6"/>
      <c r="N15" s="6"/>
      <c r="O15" s="5"/>
      <c r="R15" s="5"/>
      <c r="S15" s="5"/>
      <c r="T15" s="5"/>
      <c r="U15" s="5"/>
      <c r="AC15" s="66"/>
    </row>
    <row r="16" spans="1:1025" x14ac:dyDescent="0.2">
      <c r="M16" s="6"/>
      <c r="N16" s="6"/>
      <c r="O16" s="5"/>
      <c r="R16" s="5"/>
      <c r="S16" s="5"/>
      <c r="T16" s="5"/>
      <c r="U16" s="5"/>
    </row>
    <row r="17" spans="13:21" x14ac:dyDescent="0.2">
      <c r="M17" s="6"/>
      <c r="N17" s="6"/>
      <c r="O17" s="5"/>
      <c r="R17" s="45"/>
      <c r="S17" s="5"/>
      <c r="T17" s="5"/>
      <c r="U17" s="5"/>
    </row>
    <row r="18" spans="13:21" x14ac:dyDescent="0.2">
      <c r="M18" s="6"/>
      <c r="N18" s="6"/>
      <c r="O18" s="5"/>
      <c r="R18" s="5"/>
      <c r="S18" s="5"/>
      <c r="T18" s="5"/>
      <c r="U18" s="5"/>
    </row>
    <row r="19" spans="13:21" x14ac:dyDescent="0.2">
      <c r="M19" s="7">
        <f>M11*3.67</f>
        <v>578474.20799999998</v>
      </c>
      <c r="O19" s="5"/>
      <c r="R19" s="5"/>
      <c r="S19" s="5"/>
      <c r="T19" s="5"/>
      <c r="U19" s="5"/>
    </row>
    <row r="20" spans="13:21" x14ac:dyDescent="0.2">
      <c r="O20" s="5"/>
      <c r="R20" s="5"/>
      <c r="S20" s="5"/>
      <c r="T20" s="5"/>
      <c r="U20" s="5"/>
    </row>
    <row r="21" spans="13:21" x14ac:dyDescent="0.2">
      <c r="O21" s="5"/>
      <c r="R21" s="5"/>
      <c r="S21" s="5"/>
      <c r="T21" s="5"/>
      <c r="U21" s="5"/>
    </row>
    <row r="22" spans="13:21" x14ac:dyDescent="0.2">
      <c r="O22" s="5"/>
      <c r="R22" s="5"/>
      <c r="S22" s="5"/>
      <c r="T22" s="5"/>
      <c r="U22" s="5"/>
    </row>
    <row r="23" spans="13:21" x14ac:dyDescent="0.2">
      <c r="O23" s="5"/>
      <c r="R23" s="5"/>
      <c r="S23" s="5"/>
      <c r="T23" s="5"/>
      <c r="U23" s="5"/>
    </row>
    <row r="24" spans="13:21" x14ac:dyDescent="0.2">
      <c r="M24" s="7">
        <f>M11*3.67</f>
        <v>578474.20799999998</v>
      </c>
      <c r="O24" s="5"/>
      <c r="R24" s="5"/>
      <c r="S24" s="5"/>
      <c r="T24" s="5"/>
      <c r="U24" s="5"/>
    </row>
    <row r="25" spans="13:21" x14ac:dyDescent="0.2">
      <c r="O25" s="5"/>
      <c r="R25" s="5"/>
      <c r="S25" s="5"/>
      <c r="T25" s="5"/>
      <c r="U25" s="5"/>
    </row>
    <row r="26" spans="13:21" x14ac:dyDescent="0.2">
      <c r="O26" s="5"/>
      <c r="R26" s="5"/>
      <c r="S26" s="5"/>
      <c r="T26" s="5"/>
      <c r="U26" s="5"/>
    </row>
    <row r="27" spans="13:21" x14ac:dyDescent="0.2">
      <c r="O27" s="5"/>
      <c r="R27" s="5"/>
      <c r="S27" s="5"/>
      <c r="T27" s="5"/>
      <c r="U27" s="5"/>
    </row>
    <row r="28" spans="13:21" x14ac:dyDescent="0.2">
      <c r="O28" s="5"/>
      <c r="R28" s="5"/>
      <c r="S28" s="5"/>
      <c r="T28" s="5"/>
      <c r="U28" s="5"/>
    </row>
    <row r="29" spans="13:21" x14ac:dyDescent="0.2">
      <c r="O29" s="5"/>
      <c r="R29" s="5"/>
      <c r="S29" s="5"/>
      <c r="T29" s="5"/>
      <c r="U29" s="5"/>
    </row>
    <row r="30" spans="13:21" x14ac:dyDescent="0.2">
      <c r="O30" s="5"/>
      <c r="R30" s="5"/>
      <c r="S30" s="5"/>
      <c r="T30" s="5"/>
      <c r="U30" s="5"/>
    </row>
    <row r="31" spans="13:21" x14ac:dyDescent="0.2">
      <c r="O31" s="5"/>
      <c r="R31" s="5"/>
      <c r="S31" s="5"/>
      <c r="T31" s="5"/>
      <c r="U31" s="5"/>
    </row>
    <row r="32" spans="13:21" x14ac:dyDescent="0.2">
      <c r="O32" s="5"/>
      <c r="R32" s="5"/>
      <c r="S32" s="5"/>
      <c r="T32" s="5"/>
      <c r="U32" s="5"/>
    </row>
    <row r="33" spans="15:21" x14ac:dyDescent="0.2">
      <c r="O33" s="5"/>
      <c r="R33" s="5"/>
      <c r="S33" s="5"/>
      <c r="T33" s="5"/>
      <c r="U33" s="5"/>
    </row>
  </sheetData>
  <conditionalFormatting sqref="Y13:Z1048576 Y1:Z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2026-06-30T10:54:22Z</dcterms:modified>
  <dc:language>ru-RU</dc:language>
</cp:coreProperties>
</file>