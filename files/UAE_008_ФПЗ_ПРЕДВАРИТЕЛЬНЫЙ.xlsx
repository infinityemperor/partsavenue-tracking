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001 UAE\UAE#8\"/>
    </mc:Choice>
  </mc:AlternateContent>
  <xr:revisionPtr revIDLastSave="0" documentId="13_ncr:1_{2727C6B0-F203-4452-8D2A-9059C98D90EC}" xr6:coauthVersionLast="47" xr6:coauthVersionMax="47" xr10:uidLastSave="{00000000-0000-0000-0000-000000000000}"/>
  <bookViews>
    <workbookView xWindow="2055" yWindow="2145" windowWidth="35295" windowHeight="18060" xr2:uid="{00000000-000D-0000-FFFF-FFFF00000000}"/>
  </bookViews>
  <sheets>
    <sheet name="ФПЗ_Э8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9" i="1" l="1"/>
  <c r="L7" i="1"/>
  <c r="P9" i="1" s="1"/>
  <c r="X3" i="1"/>
  <c r="S7" i="1"/>
  <c r="R7" i="1"/>
  <c r="M7" i="1"/>
  <c r="R9" i="1"/>
  <c r="K3" i="1"/>
  <c r="M3" i="1"/>
  <c r="O3" i="1"/>
  <c r="I3" i="1"/>
  <c r="S3" i="1" l="1"/>
  <c r="R3" i="1"/>
  <c r="L3" i="1"/>
  <c r="K2" i="1"/>
  <c r="E7" i="1"/>
  <c r="P3" i="1" l="1"/>
  <c r="X2" i="1"/>
  <c r="X5" i="1" s="1"/>
  <c r="T3" i="1" l="1"/>
  <c r="U3" i="1" s="1"/>
  <c r="M2" i="1"/>
  <c r="I2" i="1"/>
  <c r="I7" i="1" s="1"/>
  <c r="L2" i="1"/>
  <c r="Q9" i="1" s="1"/>
  <c r="Q3" i="1" s="1"/>
  <c r="O2" i="1"/>
  <c r="Y3" i="1" l="1"/>
  <c r="W3" i="1"/>
  <c r="P2" i="1"/>
  <c r="P7" i="1" s="1"/>
  <c r="R2" i="1"/>
  <c r="S2" i="1"/>
  <c r="M8" i="1"/>
  <c r="Q2" i="1" l="1"/>
  <c r="Q7" i="1" s="1"/>
  <c r="T2" i="1" l="1"/>
  <c r="U2" i="1" l="1"/>
  <c r="W2" i="1" s="1"/>
  <c r="T7" i="1"/>
  <c r="Y2" i="1"/>
  <c r="Y5" i="1" s="1"/>
  <c r="Y8" i="1" s="1"/>
</calcChain>
</file>

<file path=xl/sharedStrings.xml><?xml version="1.0" encoding="utf-8"?>
<sst xmlns="http://schemas.openxmlformats.org/spreadsheetml/2006/main" count="37" uniqueCount="33">
  <si>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</si>
  <si>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</si>
  <si>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</si>
  <si>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</si>
  <si>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</si>
  <si>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</si>
  <si>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</si>
  <si>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</si>
  <si>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</si>
  <si>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</si>
  <si>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</si>
  <si>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</si>
  <si>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</si>
  <si>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</si>
  <si>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</si>
  <si>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</si>
  <si>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</si>
  <si>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</si>
  <si>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</si>
  <si>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</si>
  <si>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</si>
  <si>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</si>
  <si>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Общий вес с паллетами</t>
  </si>
  <si>
    <t>введите</t>
  </si>
  <si>
    <t xml:space="preserve">Ожидаемый % рент. </t>
  </si>
  <si>
    <t>Цена за ШТ (Закупка в валюте поставщика) + КМ</t>
  </si>
  <si>
    <t>До корректировки</t>
  </si>
  <si>
    <t>Разница</t>
  </si>
  <si>
    <t>TOYOTA</t>
  </si>
  <si>
    <t>ATF WS</t>
  </si>
  <si>
    <t>CVT FE</t>
  </si>
  <si>
    <t>0888681855</t>
  </si>
  <si>
    <t>0888681875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</si>
</sst>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</numFmts>
  <fonts count="13" x14ac:knownFonts="1">
    <font>
      <sz val="10"/>
      <color theme="1"/>
      <name val="Arial"/>
    </font>
    <font>
      <sz val="10"/>
      <name val="Arial"/>
    </font>
    <font>
      <sz val="10"/>
      <name val="Calibri Light"/>
    </font>
    <font>
      <b/>
      <sz val="10"/>
      <color indexed="2"/>
      <name val="Calibri Light"/>
    </font>
    <font>
      <b/>
      <sz val="10"/>
      <name val="Calibri Light"/>
    </font>
    <font>
      <b/>
      <sz val="12"/>
      <name val="Calibri Light"/>
    </font>
    <font>
      <b/>
      <sz val="12"/>
      <color indexed="2"/>
      <name val="Calibri Light"/>
    </font>
    <font>
      <sz val="12"/>
      <name val="Calibri Light"/>
    </font>
    <font>
      <b/>
      <sz val="12"/>
      <color rgb="FFC00000"/>
      <name val="Calibri Light"/>
    </font>
    <font>
      <b/>
      <sz val="11"/>
      <name val="Calibri Light"/>
    </font>
    <font>
      <sz val="11"/>
      <color rgb="FFC9211E"/>
      <name val="Calibri Light"/>
    </font>
    <font>
      <b/>
      <sz val="12"/>
      <color rgb="FF00A933"/>
      <name val="Calibri Light"/>
    </font>
    <font>
      <b/>
      <sz val="12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66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0" fontId="12" fillId="8" borderId="2" xfId="0" applyFont="1" applyFill="1" applyBorder="1" applyAlignment="1">
      <alignment horizontal="center" vertical="center"/>
    </xf>
    <xf numFmtId="10" fontId="12" fillId="8" borderId="2" xfId="3" applyNumberFormat="1" applyFont="1" applyFill="1" applyBorder="1" applyAlignment="1" applyProtection="1">
      <alignment horizontal="center" vertical="center"/>
    </xf>
    <xf numFmtId="1" fontId="7" fillId="5" borderId="0" xfId="0" applyNumberFormat="1" applyFont="1" applyFill="1" applyBorder="1" applyAlignment="1" applyProtection="1">
      <alignment horizontal="center" vertical="center" wrapText="1"/>
    </xf>
    <xf numFmtId="1" fontId="7" fillId="4" borderId="0" xfId="0" applyNumberFormat="1" applyFont="1" applyFill="1" applyBorder="1" applyAlignment="1" applyProtection="1">
      <alignment horizontal="center" vertical="center" wrapText="1"/>
    </xf>
    <xf numFmtId="3" fontId="7" fillId="0" borderId="4" xfId="0" applyNumberFormat="1" applyFont="1" applyBorder="1" applyAlignment="1" applyProtection="1">
      <alignment horizontal="center" vertical="center" wrapText="1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H29"/>
  <sheetViews>
    <sheetView tabSelected="1" zoomScale="85" workbookViewId="0">
      <pane xSplit="5" ySplit="1" topLeftCell="M2" activePane="bottomRight" state="frozen"/>
      <selection sqref="A1:H5"/>
      <selection pane="topRight"/>
      <selection pane="bottomLeft"/>
      <selection pane="bottomRight" activeCell="D19" sqref="D19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44.7109375" style="2" bestFit="1" customWidth="1"/>
    <col min="4" max="4" width="11.7109375" style="3" customWidth="1"/>
    <col min="5" max="7" width="10.85546875" style="4" customWidth="1"/>
    <col min="8" max="8" width="10.42578125" style="5" customWidth="1"/>
    <col min="9" max="9" width="10.7109375" style="6" customWidth="1"/>
    <col min="10" max="11" width="22.28515625" style="6" bestFit="1" customWidth="1"/>
    <col min="12" max="12" width="16.42578125" style="7" customWidth="1"/>
    <col min="13" max="13" width="11.5703125" style="5"/>
    <col min="14" max="14" width="11.5703125" style="7"/>
    <col min="15" max="15" width="12.5703125" style="5" customWidth="1"/>
    <col min="16" max="16" width="18.5703125" style="5" customWidth="1"/>
    <col min="17" max="18" width="17.5703125" style="7" customWidth="1"/>
    <col min="19" max="19" width="14.140625" style="7" customWidth="1"/>
    <col min="20" max="20" width="21.5703125" style="7" customWidth="1"/>
    <col min="21" max="21" width="16" style="5" customWidth="1"/>
    <col min="22" max="22" width="17.5703125" style="5" customWidth="1"/>
    <col min="23" max="23" width="19.140625" style="5" customWidth="1"/>
    <col min="24" max="24" width="34.42578125" style="5" customWidth="1"/>
    <col min="25" max="25" width="28" style="5" customWidth="1"/>
    <col min="26" max="26" width="15.7109375" style="5" customWidth="1"/>
    <col min="27" max="27" width="11.5703125" style="5"/>
    <col min="28" max="28" width="44.140625" style="5" customWidth="1"/>
    <col min="29" max="1020" width="11.5703125" style="5"/>
    <col min="1021" max="1022" width="11.5703125" style="8"/>
  </cols>
  <sheetData>
    <row r="1" spans="1:1022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26</v>
      </c>
      <c r="G1" s="12" t="s">
        <v>27</v>
      </c>
      <c r="H1" s="10" t="s">
        <v>5</v>
      </c>
      <c r="I1" s="10" t="s">
        <v>6</v>
      </c>
      <c r="J1" s="10" t="s">
        <v>7</v>
      </c>
      <c r="K1" s="10" t="s">
        <v>25</v>
      </c>
      <c r="L1" s="13" t="s">
        <v>8</v>
      </c>
      <c r="M1" s="14" t="s">
        <v>9</v>
      </c>
      <c r="N1" s="11" t="s">
        <v>10</v>
      </c>
      <c r="O1" s="15" t="s">
        <v>11</v>
      </c>
      <c r="P1" s="16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8" t="s">
        <v>17</v>
      </c>
      <c r="V1" s="19" t="s">
        <v>18</v>
      </c>
      <c r="W1" s="20" t="s">
        <v>19</v>
      </c>
      <c r="X1" s="20" t="s">
        <v>20</v>
      </c>
      <c r="Y1" s="20" t="s">
        <v>21</v>
      </c>
      <c r="Z1" s="21"/>
      <c r="AA1" s="21"/>
      <c r="AB1" s="21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</row>
    <row r="2" spans="1:1022" ht="15.75" x14ac:dyDescent="0.25">
      <c r="A2" s="23" t="s">
        <v>31</v>
      </c>
      <c r="B2" s="24" t="s">
        <v>28</v>
      </c>
      <c r="C2" s="25" t="s">
        <v>29</v>
      </c>
      <c r="D2" s="26">
        <v>4</v>
      </c>
      <c r="E2" s="65">
        <v>2880</v>
      </c>
      <c r="F2" s="26"/>
      <c r="G2" s="26"/>
      <c r="H2" s="26">
        <v>6</v>
      </c>
      <c r="I2" s="26">
        <f>E2/H2</f>
        <v>480</v>
      </c>
      <c r="J2" s="27">
        <v>24.5</v>
      </c>
      <c r="K2" s="27">
        <f>J2+17/N2</f>
        <v>24.704819277108435</v>
      </c>
      <c r="L2" s="27">
        <f>K2*E2</f>
        <v>71149.879518072295</v>
      </c>
      <c r="M2" s="28">
        <f>D2*E2*0.97</f>
        <v>11174.4</v>
      </c>
      <c r="N2" s="24">
        <v>83</v>
      </c>
      <c r="O2" s="29">
        <f t="shared" ref="O2" si="0">K2*N2*1.0425</f>
        <v>2137.6462499999998</v>
      </c>
      <c r="P2" s="29">
        <f>$P$9/$L$7*L2</f>
        <v>5905440.0000000009</v>
      </c>
      <c r="Q2" s="29">
        <f>$Q$9/$L$7*L2</f>
        <v>1771632</v>
      </c>
      <c r="R2" s="29">
        <f>$R$9/$M$7*M2</f>
        <v>758856</v>
      </c>
      <c r="S2" s="29">
        <f>$S$9/$M$7*M2</f>
        <v>12500</v>
      </c>
      <c r="T2" s="29">
        <f t="shared" ref="T2" si="1">P2+Q2+R2+S2</f>
        <v>8448428</v>
      </c>
      <c r="U2" s="30">
        <f>IFERROR(SUM(T2/E2),"")</f>
        <v>2933.4819444444443</v>
      </c>
      <c r="V2" s="31">
        <v>3200</v>
      </c>
      <c r="W2" s="32">
        <f>IFERROR((V2-U2)/U2,"")</f>
        <v>9.0853825113973941E-2</v>
      </c>
      <c r="X2" s="33">
        <f>V2*E2</f>
        <v>9216000</v>
      </c>
      <c r="Y2" s="33">
        <f>IFERROR(U2*E2,"")</f>
        <v>8448428</v>
      </c>
      <c r="Z2" s="21"/>
      <c r="AA2" s="21"/>
      <c r="AB2" s="21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</row>
    <row r="3" spans="1:1022" ht="15.75" x14ac:dyDescent="0.25">
      <c r="A3" s="23" t="s">
        <v>32</v>
      </c>
      <c r="B3" s="24" t="s">
        <v>28</v>
      </c>
      <c r="C3" s="25" t="s">
        <v>30</v>
      </c>
      <c r="D3" s="26">
        <v>4</v>
      </c>
      <c r="E3" s="65">
        <v>2880</v>
      </c>
      <c r="F3" s="26"/>
      <c r="G3" s="26"/>
      <c r="H3" s="26">
        <v>6</v>
      </c>
      <c r="I3" s="26">
        <f>E3/H3</f>
        <v>480</v>
      </c>
      <c r="J3" s="27">
        <v>24.9</v>
      </c>
      <c r="K3" s="27">
        <f>J3+17/N3</f>
        <v>25.104819277108433</v>
      </c>
      <c r="L3" s="27">
        <f>K3*E3</f>
        <v>72301.879518072281</v>
      </c>
      <c r="M3" s="28">
        <f>D3*E3*0.97</f>
        <v>11174.4</v>
      </c>
      <c r="N3" s="24">
        <v>83</v>
      </c>
      <c r="O3" s="29">
        <f t="shared" ref="O3" si="2">K3*N3*1.0425</f>
        <v>2172.2572499999997</v>
      </c>
      <c r="P3" s="29">
        <f>$P$9/$L$7*L3</f>
        <v>6001055.9999999991</v>
      </c>
      <c r="Q3" s="29">
        <f>$Q$9/$L$7*L3</f>
        <v>1800316.7999999996</v>
      </c>
      <c r="R3" s="29">
        <f>$R$9/$M$7*M3</f>
        <v>758856</v>
      </c>
      <c r="S3" s="29">
        <f>$S$9/$M$7*M3</f>
        <v>12500</v>
      </c>
      <c r="T3" s="29">
        <f t="shared" ref="T3" si="3">P3+Q3+R3+S3</f>
        <v>8572728.7999999989</v>
      </c>
      <c r="U3" s="30">
        <f>IFERROR(SUM(T3/E3),"")</f>
        <v>2976.6419444444441</v>
      </c>
      <c r="V3" s="31">
        <v>3300</v>
      </c>
      <c r="W3" s="32">
        <f>IFERROR((V3-U3)/U3,"")</f>
        <v>0.10863182794258008</v>
      </c>
      <c r="X3" s="33">
        <f>V3*E3</f>
        <v>9504000</v>
      </c>
      <c r="Y3" s="33">
        <f>IFERROR(U3*E3,"")</f>
        <v>8572728.7999999989</v>
      </c>
      <c r="Z3" s="21"/>
      <c r="AA3" s="21"/>
      <c r="AB3" s="21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</row>
    <row r="4" spans="1:1022" ht="15.75" x14ac:dyDescent="0.25">
      <c r="A4" s="47"/>
      <c r="B4" s="48"/>
      <c r="C4" s="49"/>
      <c r="D4" s="50"/>
      <c r="E4" s="50"/>
      <c r="F4" s="50"/>
      <c r="G4" s="50"/>
      <c r="H4" s="50"/>
      <c r="I4" s="50"/>
      <c r="J4" s="51"/>
      <c r="K4" s="51"/>
      <c r="L4" s="51"/>
      <c r="M4" s="63"/>
      <c r="N4" s="48"/>
      <c r="O4" s="52"/>
      <c r="P4" s="52"/>
      <c r="Q4" s="52"/>
      <c r="R4" s="52"/>
      <c r="S4" s="52"/>
      <c r="T4" s="52"/>
      <c r="U4" s="53"/>
      <c r="V4" s="64"/>
      <c r="W4" s="54"/>
      <c r="X4" s="55"/>
      <c r="Y4" s="55"/>
      <c r="Z4" s="21"/>
      <c r="AA4" s="21"/>
      <c r="AB4" s="21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</row>
    <row r="5" spans="1:1022" ht="15.75" x14ac:dyDescent="0.25">
      <c r="A5" s="47"/>
      <c r="B5" s="48"/>
      <c r="C5" s="49"/>
      <c r="D5" s="50"/>
      <c r="E5" s="50"/>
      <c r="F5" s="50"/>
      <c r="G5" s="50"/>
      <c r="H5" s="50"/>
      <c r="I5" s="50"/>
      <c r="J5" s="50"/>
      <c r="K5" s="51"/>
      <c r="L5" s="51"/>
      <c r="M5" s="58"/>
      <c r="N5" s="48"/>
      <c r="O5" s="52"/>
      <c r="P5" s="52"/>
      <c r="Q5" s="52"/>
      <c r="R5" s="52"/>
      <c r="S5" s="34"/>
      <c r="T5" s="52"/>
      <c r="U5" s="53"/>
      <c r="V5" s="58"/>
      <c r="W5" s="54"/>
      <c r="X5" s="55">
        <f>SUM(X2:X3)</f>
        <v>18720000</v>
      </c>
      <c r="Y5" s="55">
        <f>SUM(Y2:Y3)</f>
        <v>17021156.799999997</v>
      </c>
      <c r="Z5" s="21"/>
      <c r="AA5" s="21"/>
      <c r="AB5" s="21"/>
    </row>
    <row r="6" spans="1:1022" ht="15.75" x14ac:dyDescent="0.25">
      <c r="A6" s="47"/>
      <c r="B6" s="48"/>
      <c r="C6" s="49"/>
      <c r="D6" s="50"/>
      <c r="E6" s="50"/>
      <c r="F6" s="50"/>
      <c r="G6" s="50"/>
      <c r="H6" s="50"/>
      <c r="I6" s="50"/>
      <c r="J6" s="50"/>
      <c r="K6" s="51"/>
      <c r="L6" s="51"/>
      <c r="M6" s="58"/>
      <c r="N6" s="48"/>
      <c r="O6" s="52"/>
      <c r="P6" s="52"/>
      <c r="Q6" s="52"/>
      <c r="R6" s="52"/>
      <c r="S6" s="34"/>
      <c r="T6" s="52"/>
      <c r="U6" s="53"/>
      <c r="V6" s="58"/>
      <c r="W6" s="54"/>
      <c r="X6" s="55"/>
      <c r="Y6" s="55"/>
      <c r="Z6" s="21"/>
      <c r="AA6" s="21"/>
      <c r="AB6" s="21"/>
    </row>
    <row r="7" spans="1:1022" ht="15.75" x14ac:dyDescent="0.25">
      <c r="A7" s="35"/>
      <c r="B7" s="36"/>
      <c r="C7" s="36"/>
      <c r="D7" s="37"/>
      <c r="E7" s="38">
        <f>SUM(E2:E2)</f>
        <v>2880</v>
      </c>
      <c r="F7" s="38"/>
      <c r="G7" s="38"/>
      <c r="H7" s="39"/>
      <c r="I7" s="38">
        <f>SUM(I2:I2)</f>
        <v>480</v>
      </c>
      <c r="J7" s="38"/>
      <c r="K7" s="39"/>
      <c r="L7" s="59">
        <f>SUMIF(L2:L3,"&lt;&gt;#ДЕЛ/0!")</f>
        <v>143451.75903614459</v>
      </c>
      <c r="M7" s="60">
        <f>SUM(M2:M3)</f>
        <v>22348.799999999999</v>
      </c>
      <c r="O7" s="7"/>
      <c r="P7" s="40">
        <f>SUMIF(P2:P3,"&lt;&gt;#ДЕЛ/0!")</f>
        <v>11906496</v>
      </c>
      <c r="Q7" s="40">
        <f>SUMIF(Q2:Q3,"&lt;&gt;#ДЕЛ/0!")</f>
        <v>3571948.8</v>
      </c>
      <c r="R7" s="40">
        <f>SUMIF(R2:R3,"&lt;&gt;#ДЕЛ/0!")</f>
        <v>1517712</v>
      </c>
      <c r="S7" s="40">
        <f>SUMIF(S2:S3,"&lt;&gt;#ДЕЛ/0!")</f>
        <v>25000</v>
      </c>
      <c r="T7" s="40">
        <f>SUMIF(T2:T3,"&lt;&gt;#ДЕЛ/0!")</f>
        <v>17021156.799999997</v>
      </c>
      <c r="U7" s="41"/>
      <c r="V7" s="21"/>
      <c r="Y7" s="21"/>
      <c r="Z7" s="21"/>
      <c r="AA7" s="21"/>
      <c r="AB7" s="21"/>
      <c r="AMG7" s="5"/>
      <c r="AMH7" s="5"/>
    </row>
    <row r="8" spans="1:1022" ht="30" x14ac:dyDescent="0.25">
      <c r="L8" s="56" t="s">
        <v>22</v>
      </c>
      <c r="M8" s="57">
        <f>(M7/700)*20+M7</f>
        <v>22987.337142857141</v>
      </c>
      <c r="O8" s="7"/>
      <c r="P8" s="42" t="s">
        <v>23</v>
      </c>
      <c r="Q8" s="42" t="s">
        <v>23</v>
      </c>
      <c r="R8" s="42" t="s">
        <v>23</v>
      </c>
      <c r="S8" s="42" t="s">
        <v>23</v>
      </c>
      <c r="T8" s="43"/>
      <c r="X8" s="61" t="s">
        <v>24</v>
      </c>
      <c r="Y8" s="62">
        <f>(X5-Y5)/Y5</f>
        <v>9.9807740446877458E-2</v>
      </c>
    </row>
    <row r="9" spans="1:1022" ht="15.75" x14ac:dyDescent="0.25">
      <c r="L9" s="6"/>
      <c r="M9" s="6"/>
      <c r="P9" s="44">
        <f>L7*N2</f>
        <v>11906496.000000002</v>
      </c>
      <c r="Q9" s="44">
        <f>P9*0.3</f>
        <v>3571948.8000000003</v>
      </c>
      <c r="R9" s="45">
        <f>12000*N2+(E2*0.3*N2)+150000+150000+150000</f>
        <v>1517712</v>
      </c>
      <c r="S9" s="45">
        <v>25000</v>
      </c>
      <c r="T9" s="44">
        <f>P9+Q9+R9+S9</f>
        <v>17021156.800000004</v>
      </c>
    </row>
    <row r="10" spans="1:1022" x14ac:dyDescent="0.2">
      <c r="L10" s="6"/>
      <c r="M10" s="6"/>
      <c r="N10" s="5"/>
      <c r="Q10" s="5"/>
      <c r="R10" s="5"/>
      <c r="S10" s="5"/>
      <c r="T10" s="5"/>
    </row>
    <row r="11" spans="1:1022" x14ac:dyDescent="0.2">
      <c r="L11" s="6"/>
      <c r="M11" s="6"/>
      <c r="N11" s="5"/>
      <c r="Q11" s="5"/>
      <c r="R11" s="5"/>
      <c r="S11" s="5"/>
      <c r="T11" s="5"/>
    </row>
    <row r="12" spans="1:1022" x14ac:dyDescent="0.2">
      <c r="L12" s="6"/>
      <c r="M12" s="6"/>
      <c r="N12" s="5"/>
      <c r="Q12" s="5"/>
      <c r="R12" s="5"/>
      <c r="S12" s="5"/>
      <c r="T12" s="5"/>
    </row>
    <row r="13" spans="1:1022" x14ac:dyDescent="0.2">
      <c r="L13" s="6"/>
      <c r="M13" s="6"/>
      <c r="N13" s="5"/>
      <c r="Q13" s="46"/>
      <c r="R13" s="5"/>
      <c r="S13" s="5"/>
      <c r="T13" s="5"/>
    </row>
    <row r="14" spans="1:1022" x14ac:dyDescent="0.2">
      <c r="L14" s="6"/>
      <c r="M14" s="6"/>
      <c r="N14" s="5"/>
      <c r="Q14" s="5"/>
      <c r="R14" s="5"/>
      <c r="S14" s="5"/>
      <c r="T14" s="5"/>
    </row>
    <row r="15" spans="1:1022" x14ac:dyDescent="0.2">
      <c r="N15" s="5"/>
      <c r="Q15" s="5"/>
      <c r="R15" s="5"/>
      <c r="S15" s="5"/>
      <c r="T15" s="5"/>
    </row>
    <row r="16" spans="1:1022" x14ac:dyDescent="0.2">
      <c r="N16" s="5"/>
      <c r="Q16" s="5"/>
      <c r="R16" s="5"/>
      <c r="S16" s="5"/>
      <c r="T16" s="5"/>
    </row>
    <row r="17" spans="14:20" x14ac:dyDescent="0.2">
      <c r="N17" s="5"/>
      <c r="Q17" s="5"/>
      <c r="R17" s="5"/>
      <c r="S17" s="5"/>
      <c r="T17" s="5"/>
    </row>
    <row r="18" spans="14:20" x14ac:dyDescent="0.2">
      <c r="N18" s="5"/>
      <c r="Q18" s="5"/>
      <c r="R18" s="5"/>
      <c r="S18" s="5"/>
      <c r="T18" s="5"/>
    </row>
    <row r="19" spans="14:20" x14ac:dyDescent="0.2">
      <c r="N19" s="5"/>
      <c r="Q19" s="5"/>
      <c r="R19" s="5"/>
      <c r="S19" s="5"/>
      <c r="T19" s="5"/>
    </row>
    <row r="20" spans="14:20" x14ac:dyDescent="0.2">
      <c r="N20" s="5"/>
      <c r="Q20" s="5"/>
      <c r="R20" s="5"/>
      <c r="S20" s="5"/>
      <c r="T20" s="5"/>
    </row>
    <row r="21" spans="14:20" x14ac:dyDescent="0.2">
      <c r="N21" s="5"/>
      <c r="Q21" s="5"/>
      <c r="R21" s="5"/>
      <c r="S21" s="5"/>
      <c r="T21" s="5"/>
    </row>
    <row r="22" spans="14:20" x14ac:dyDescent="0.2">
      <c r="N22" s="5"/>
      <c r="Q22" s="5"/>
      <c r="R22" s="5"/>
      <c r="S22" s="5"/>
      <c r="T22" s="5"/>
    </row>
    <row r="23" spans="14:20" x14ac:dyDescent="0.2">
      <c r="N23" s="5"/>
      <c r="Q23" s="5"/>
      <c r="R23" s="5"/>
      <c r="S23" s="5"/>
      <c r="T23" s="5"/>
    </row>
    <row r="24" spans="14:20" x14ac:dyDescent="0.2">
      <c r="N24" s="5"/>
      <c r="Q24" s="5"/>
      <c r="R24" s="5"/>
      <c r="S24" s="5"/>
      <c r="T24" s="5"/>
    </row>
    <row r="25" spans="14:20" x14ac:dyDescent="0.2">
      <c r="N25" s="5"/>
      <c r="Q25" s="5"/>
      <c r="R25" s="5"/>
      <c r="S25" s="5"/>
      <c r="T25" s="5"/>
    </row>
    <row r="26" spans="14:20" x14ac:dyDescent="0.2">
      <c r="N26" s="5"/>
      <c r="Q26" s="5"/>
      <c r="R26" s="5"/>
      <c r="S26" s="5"/>
      <c r="T26" s="5"/>
    </row>
    <row r="27" spans="14:20" x14ac:dyDescent="0.2">
      <c r="N27" s="5"/>
      <c r="Q27" s="5"/>
      <c r="R27" s="5"/>
      <c r="S27" s="5"/>
      <c r="T27" s="5"/>
    </row>
    <row r="28" spans="14:20" x14ac:dyDescent="0.2">
      <c r="N28" s="5"/>
      <c r="Q28" s="5"/>
      <c r="R28" s="5"/>
      <c r="S28" s="5"/>
      <c r="T28" s="5"/>
    </row>
    <row r="29" spans="14:20" x14ac:dyDescent="0.2">
      <c r="N29" s="5"/>
      <c r="Q29" s="5"/>
      <c r="R29" s="5"/>
      <c r="S29" s="5"/>
      <c r="T29" s="5"/>
    </row>
  </sheetData>
  <conditionalFormatting sqref="W9:W1048576 W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2026-05-15T20:23:53Z</dcterms:modified>
  <dc:language>ru-RU</dc:language>
</cp:coreProperties>
</file>