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UAE\UAE#8\"/>
    </mc:Choice>
  </mc:AlternateContent>
  <xr:revisionPtr revIDLastSave="0" documentId="13_ncr:1_{EEE9AFF8-0933-4241-AD1D-CD682D2770D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ФПЗ_Э8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8" i="1" l="1"/>
  <c r="K2" i="1"/>
  <c r="E2" i="1"/>
  <c r="E6" i="1"/>
  <c r="X2" i="1" l="1"/>
  <c r="X4" i="1" l="1"/>
  <c r="M2" i="1"/>
  <c r="M6" i="1" s="1"/>
  <c r="I2" i="1"/>
  <c r="I6" i="1" s="1"/>
  <c r="L2" i="1"/>
  <c r="L6" i="1" s="1"/>
  <c r="P8" i="1" s="1"/>
  <c r="Q8" i="1" s="1"/>
  <c r="O2" i="1"/>
  <c r="P2" i="1" l="1"/>
  <c r="P6" i="1" s="1"/>
  <c r="R2" i="1"/>
  <c r="R6" i="1" s="1"/>
  <c r="S2" i="1"/>
  <c r="S6" i="1" s="1"/>
  <c r="M7" i="1"/>
  <c r="T8" i="1"/>
  <c r="Q2" i="1" l="1"/>
  <c r="Q6" i="1" s="1"/>
  <c r="T2" i="1" l="1"/>
  <c r="T6" i="1" s="1"/>
  <c r="U2" i="1" l="1"/>
  <c r="Y2" i="1" s="1"/>
  <c r="Y4" i="1" s="1"/>
  <c r="Y7" i="1" s="1"/>
  <c r="W2" i="1" l="1"/>
</calcChain>
</file>

<file path=xl/sharedStrings.xml><?xml version="1.0" encoding="utf-8"?>
<sst xmlns="http://schemas.openxmlformats.org/spreadsheetml/2006/main" count="34" uniqueCount="31">
  <si>
    <t xml:space="preserve">
Артикул</t>
  </si>
  <si>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</si>
  <si>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</si>
  <si>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</si>
  <si>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</si>
  <si>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</si>
  <si>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</si>
  <si>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</si>
  <si>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</si>
  <si>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</si>
  <si>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</si>
  <si>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</si>
  <si>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</si>
  <si>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</si>
  <si>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</si>
  <si>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</si>
  <si>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</si>
  <si>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себестоимость за шт</t>
  </si>
  <si>
    <t>Дистриб</t>
  </si>
  <si>
    <t>рентабельность</t>
  </si>
  <si>
    <t>Сумма реализации</t>
  </si>
  <si>
    <t>Стоимость ящика закуп</t>
  </si>
  <si>
    <t>Общий вес с паллетами</t>
  </si>
  <si>
    <t>введите</t>
  </si>
  <si>
    <t xml:space="preserve">Ожидаемый % рент. </t>
  </si>
  <si>
    <t>Цена за ШТ (Закупка в валюте поставщика) + КМ</t>
  </si>
  <si>
    <t>До корректировки</t>
  </si>
  <si>
    <t>Разница</t>
  </si>
  <si>
    <t>0888681885</t>
  </si>
  <si>
    <t>TOYOTA</t>
  </si>
  <si>
    <t>ATF 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</si>
</sst>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0&quot; кг.&quot;"/>
    <numFmt numFmtId="172" formatCode="#,##0.0"/>
  </numFmts>
  <fonts count="13" x14ac:knownFonts="1">
    <font>
      <sz val="10"/>
      <color theme="1"/>
      <name val="Arial"/>
    </font>
    <font>
      <sz val="10"/>
      <name val="Arial"/>
    </font>
    <font>
      <sz val="10"/>
      <name val="Calibri Light"/>
    </font>
    <font>
      <b/>
      <sz val="10"/>
      <color indexed="2"/>
      <name val="Calibri Light"/>
    </font>
    <font>
      <b/>
      <sz val="10"/>
      <name val="Calibri Light"/>
    </font>
    <font>
      <b/>
      <sz val="12"/>
      <name val="Calibri Light"/>
    </font>
    <font>
      <b/>
      <sz val="12"/>
      <color indexed="2"/>
      <name val="Calibri Light"/>
    </font>
    <font>
      <sz val="12"/>
      <name val="Calibri Light"/>
    </font>
    <font>
      <b/>
      <sz val="12"/>
      <color rgb="FFC00000"/>
      <name val="Calibri Light"/>
    </font>
    <font>
      <b/>
      <sz val="11"/>
      <name val="Calibri Light"/>
    </font>
    <font>
      <sz val="11"/>
      <color rgb="FFC9211E"/>
      <name val="Calibri Light"/>
    </font>
    <font>
      <b/>
      <sz val="12"/>
      <color rgb="FF00A933"/>
      <name val="Calibri Light"/>
    </font>
    <font>
      <b/>
      <sz val="12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65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49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68" fontId="6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9" fontId="1" fillId="0" borderId="4" xfId="3" applyNumberFormat="1" applyFont="1" applyBorder="1" applyProtection="1"/>
    <xf numFmtId="165" fontId="7" fillId="0" borderId="4" xfId="0" applyNumberFormat="1" applyFont="1" applyBorder="1" applyAlignment="1" applyProtection="1">
      <alignment horizontal="right" vertical="center" wrapText="1"/>
    </xf>
    <xf numFmtId="168" fontId="7" fillId="0" borderId="0" xfId="0" applyNumberFormat="1" applyFont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70" fontId="9" fillId="7" borderId="0" xfId="0" applyNumberFormat="1" applyFont="1" applyFill="1" applyProtection="1"/>
    <xf numFmtId="9" fontId="0" fillId="0" borderId="0" xfId="3" applyNumberFormat="1" applyFont="1" applyAlignment="1" applyProtection="1">
      <alignment horizontal="center" wrapText="1"/>
    </xf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165" fontId="11" fillId="0" borderId="0" xfId="0" applyNumberFormat="1" applyFont="1" applyAlignment="1" applyProtection="1">
      <alignment horizontal="right" wrapText="1"/>
    </xf>
    <xf numFmtId="165" fontId="11" fillId="0" borderId="0" xfId="0" applyNumberFormat="1" applyFont="1" applyAlignment="1" applyProtection="1">
      <alignment horizontal="center" wrapText="1"/>
    </xf>
    <xf numFmtId="172" fontId="1" fillId="0" borderId="0" xfId="3" applyNumberFormat="1" applyFont="1" applyProtection="1"/>
    <xf numFmtId="49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left" vertical="center" wrapText="1"/>
    </xf>
    <xf numFmtId="4" fontId="7" fillId="0" borderId="0" xfId="0" applyNumberFormat="1" applyFont="1" applyBorder="1" applyAlignment="1" applyProtection="1">
      <alignment horizontal="center" vertical="center" wrapText="1"/>
    </xf>
    <xf numFmtId="167" fontId="7" fillId="0" borderId="0" xfId="2" applyNumberFormat="1" applyFont="1" applyBorder="1" applyAlignment="1" applyProtection="1">
      <alignment horizontal="right" vertical="center"/>
    </xf>
    <xf numFmtId="168" fontId="7" fillId="0" borderId="0" xfId="0" applyNumberFormat="1" applyFont="1" applyBorder="1" applyAlignment="1" applyProtection="1">
      <alignment horizontal="right" vertical="center" wrapText="1"/>
    </xf>
    <xf numFmtId="168" fontId="6" fillId="0" borderId="0" xfId="0" applyNumberFormat="1" applyFont="1" applyBorder="1" applyAlignment="1" applyProtection="1">
      <alignment horizontal="right" vertical="center" wrapText="1"/>
    </xf>
    <xf numFmtId="169" fontId="1" fillId="0" borderId="0" xfId="3" applyNumberFormat="1" applyFont="1" applyBorder="1" applyProtection="1"/>
    <xf numFmtId="165" fontId="7" fillId="0" borderId="0" xfId="0" applyNumberFormat="1" applyFont="1" applyBorder="1" applyAlignment="1" applyProtection="1">
      <alignment horizontal="right" vertical="center" wrapText="1"/>
    </xf>
    <xf numFmtId="167" fontId="9" fillId="6" borderId="2" xfId="0" applyNumberFormat="1" applyFont="1" applyFill="1" applyBorder="1" applyAlignment="1" applyProtection="1">
      <alignment horizontal="left" vertical="center" wrapText="1"/>
    </xf>
    <xf numFmtId="171" fontId="8" fillId="5" borderId="2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Fill="1" applyBorder="1" applyAlignment="1" applyProtection="1">
      <alignment horizontal="center" vertical="center" wrapText="1"/>
    </xf>
    <xf numFmtId="167" fontId="9" fillId="6" borderId="2" xfId="0" applyNumberFormat="1" applyFont="1" applyFill="1" applyBorder="1" applyProtection="1"/>
    <xf numFmtId="1" fontId="8" fillId="5" borderId="2" xfId="0" applyNumberFormat="1" applyFont="1" applyFill="1" applyBorder="1" applyAlignment="1" applyProtection="1">
      <alignment horizontal="center" wrapText="1"/>
    </xf>
    <xf numFmtId="0" fontId="12" fillId="8" borderId="2" xfId="0" applyFont="1" applyFill="1" applyBorder="1" applyAlignment="1">
      <alignment horizontal="center" vertical="center"/>
    </xf>
    <xf numFmtId="10" fontId="12" fillId="8" borderId="2" xfId="3" applyNumberFormat="1" applyFont="1" applyFill="1" applyBorder="1" applyAlignment="1" applyProtection="1">
      <alignment horizontal="center" vertical="center"/>
    </xf>
    <xf numFmtId="1" fontId="7" fillId="5" borderId="0" xfId="0" applyNumberFormat="1" applyFont="1" applyFill="1" applyBorder="1" applyAlignment="1" applyProtection="1">
      <alignment horizontal="center" vertical="center" wrapText="1"/>
    </xf>
    <xf numFmtId="1" fontId="7" fillId="4" borderId="0" xfId="0" applyNumberFormat="1" applyFont="1" applyFill="1" applyBorder="1" applyAlignment="1" applyProtection="1">
      <alignment horizontal="center" vertical="center" wrapText="1"/>
    </xf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H28"/>
  <sheetViews>
    <sheetView tabSelected="1" zoomScale="85" workbookViewId="0">
      <pane xSplit="5" ySplit="1" topLeftCell="J2" activePane="bottomRight" state="frozen"/>
      <selection sqref="A1:H5"/>
      <selection pane="topRight"/>
      <selection pane="bottomLeft"/>
      <selection pane="bottomRight" activeCell="L21" sqref="L21"/>
    </sheetView>
  </sheetViews>
  <sheetFormatPr defaultColWidth="11.5703125" defaultRowHeight="12.75" x14ac:dyDescent="0.2"/>
  <cols>
    <col min="1" max="1" width="25.7109375" style="1" customWidth="1"/>
    <col min="2" max="2" width="24.85546875" style="2" customWidth="1"/>
    <col min="3" max="3" width="44.7109375" style="2" bestFit="1" customWidth="1"/>
    <col min="4" max="4" width="11.7109375" style="3" customWidth="1"/>
    <col min="5" max="7" width="10.85546875" style="4" customWidth="1"/>
    <col min="8" max="8" width="10.42578125" style="5" customWidth="1"/>
    <col min="9" max="9" width="10.7109375" style="6" customWidth="1"/>
    <col min="10" max="11" width="22.28515625" style="6" bestFit="1" customWidth="1"/>
    <col min="12" max="12" width="16.42578125" style="7" customWidth="1"/>
    <col min="13" max="13" width="11.5703125" style="5"/>
    <col min="14" max="14" width="11.5703125" style="7"/>
    <col min="15" max="15" width="12.5703125" style="5" customWidth="1"/>
    <col min="16" max="16" width="18.5703125" style="5" customWidth="1"/>
    <col min="17" max="18" width="17.5703125" style="7" customWidth="1"/>
    <col min="19" max="19" width="14.140625" style="7" customWidth="1"/>
    <col min="20" max="20" width="21.5703125" style="7" customWidth="1"/>
    <col min="21" max="21" width="16" style="5" customWidth="1"/>
    <col min="22" max="22" width="17.5703125" style="5" customWidth="1"/>
    <col min="23" max="23" width="19.140625" style="5" customWidth="1"/>
    <col min="24" max="24" width="34.42578125" style="5" customWidth="1"/>
    <col min="25" max="25" width="28" style="5" customWidth="1"/>
    <col min="26" max="26" width="15.7109375" style="5" customWidth="1"/>
    <col min="27" max="27" width="11.5703125" style="5"/>
    <col min="28" max="28" width="44.140625" style="5" customWidth="1"/>
    <col min="29" max="1020" width="11.5703125" style="5"/>
    <col min="1021" max="1022" width="11.5703125" style="8"/>
  </cols>
  <sheetData>
    <row r="1" spans="1:1022" ht="60.75" customHeight="1" x14ac:dyDescent="0.25">
      <c r="A1" s="9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2" t="s">
        <v>26</v>
      </c>
      <c r="G1" s="12" t="s">
        <v>27</v>
      </c>
      <c r="H1" s="10" t="s">
        <v>5</v>
      </c>
      <c r="I1" s="10" t="s">
        <v>6</v>
      </c>
      <c r="J1" s="10" t="s">
        <v>7</v>
      </c>
      <c r="K1" s="10" t="s">
        <v>25</v>
      </c>
      <c r="L1" s="13" t="s">
        <v>8</v>
      </c>
      <c r="M1" s="14" t="s">
        <v>9</v>
      </c>
      <c r="N1" s="11" t="s">
        <v>10</v>
      </c>
      <c r="O1" s="15" t="s">
        <v>11</v>
      </c>
      <c r="P1" s="16" t="s">
        <v>12</v>
      </c>
      <c r="Q1" s="17" t="s">
        <v>13</v>
      </c>
      <c r="R1" s="17" t="s">
        <v>14</v>
      </c>
      <c r="S1" s="17" t="s">
        <v>15</v>
      </c>
      <c r="T1" s="17" t="s">
        <v>16</v>
      </c>
      <c r="U1" s="18" t="s">
        <v>17</v>
      </c>
      <c r="V1" s="19" t="s">
        <v>18</v>
      </c>
      <c r="W1" s="20" t="s">
        <v>19</v>
      </c>
      <c r="X1" s="20" t="s">
        <v>20</v>
      </c>
      <c r="Y1" s="20" t="s">
        <v>21</v>
      </c>
      <c r="Z1" s="21"/>
      <c r="AA1" s="21"/>
      <c r="AB1" s="21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  <c r="AMF1" s="22"/>
      <c r="AMG1" s="22"/>
      <c r="AMH1" s="22"/>
    </row>
    <row r="2" spans="1:1022" ht="15.75" x14ac:dyDescent="0.25">
      <c r="A2" s="23" t="s">
        <v>28</v>
      </c>
      <c r="B2" s="24" t="s">
        <v>29</v>
      </c>
      <c r="C2" s="25" t="s">
        <v>30</v>
      </c>
      <c r="D2" s="26">
        <v>4</v>
      </c>
      <c r="E2" s="26">
        <f>144*43</f>
        <v>6192</v>
      </c>
      <c r="F2" s="26"/>
      <c r="G2" s="26"/>
      <c r="H2" s="26">
        <v>6</v>
      </c>
      <c r="I2" s="26">
        <f>E2/H2</f>
        <v>1032</v>
      </c>
      <c r="J2" s="27">
        <v>24</v>
      </c>
      <c r="K2" s="27">
        <f>J2+17/N2</f>
        <v>24.204819277108435</v>
      </c>
      <c r="L2" s="27">
        <f>K2*E2</f>
        <v>149876.24096385544</v>
      </c>
      <c r="M2" s="28">
        <f>D2*E2*0.97</f>
        <v>24024.959999999999</v>
      </c>
      <c r="N2" s="24">
        <v>83</v>
      </c>
      <c r="O2" s="29">
        <f t="shared" ref="O2" si="0">K2*N2*1.0425</f>
        <v>2094.3825000000002</v>
      </c>
      <c r="P2" s="29">
        <f>$P$8/$L$6*L2</f>
        <v>12439728.000000002</v>
      </c>
      <c r="Q2" s="29">
        <f>$Q$8/$L$6*L2</f>
        <v>3731918.4000000004</v>
      </c>
      <c r="R2" s="29">
        <f>$R$8/$M$6*M2</f>
        <v>1600180.8</v>
      </c>
      <c r="S2" s="29">
        <f>$S$8/$M$6*M2</f>
        <v>25000.000000000004</v>
      </c>
      <c r="T2" s="29">
        <f t="shared" ref="T2" si="1">P2+Q2+R2+S2</f>
        <v>17796827.200000003</v>
      </c>
      <c r="U2" s="30">
        <f>IFERROR(SUM(T2/E2),"")</f>
        <v>2874.1645994832047</v>
      </c>
      <c r="V2" s="31">
        <v>3050</v>
      </c>
      <c r="W2" s="32">
        <f>IFERROR((V2-U2)/U2,"")</f>
        <v>6.1177916027638689E-2</v>
      </c>
      <c r="X2" s="33">
        <f>V2*E2</f>
        <v>18885600</v>
      </c>
      <c r="Y2" s="33">
        <f>IFERROR(U2*E2,"")</f>
        <v>17796827.200000003</v>
      </c>
      <c r="Z2" s="21"/>
      <c r="AA2" s="21"/>
      <c r="AB2" s="21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</row>
    <row r="3" spans="1:1022" ht="15.75" x14ac:dyDescent="0.25">
      <c r="A3" s="47"/>
      <c r="B3" s="48"/>
      <c r="C3" s="49"/>
      <c r="D3" s="50"/>
      <c r="E3" s="50"/>
      <c r="F3" s="50"/>
      <c r="G3" s="50"/>
      <c r="H3" s="50"/>
      <c r="I3" s="50"/>
      <c r="J3" s="51"/>
      <c r="K3" s="51"/>
      <c r="L3" s="51"/>
      <c r="M3" s="63"/>
      <c r="N3" s="48"/>
      <c r="O3" s="52"/>
      <c r="P3" s="52"/>
      <c r="Q3" s="52"/>
      <c r="R3" s="52"/>
      <c r="S3" s="52"/>
      <c r="T3" s="52"/>
      <c r="U3" s="53"/>
      <c r="V3" s="64"/>
      <c r="W3" s="54"/>
      <c r="X3" s="55"/>
      <c r="Y3" s="55"/>
      <c r="Z3" s="21"/>
      <c r="AA3" s="21"/>
      <c r="AB3" s="21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  <c r="EM3" s="22"/>
      <c r="EN3" s="22"/>
      <c r="EO3" s="22"/>
      <c r="EP3" s="22"/>
      <c r="EQ3" s="22"/>
      <c r="ER3" s="22"/>
      <c r="ES3" s="22"/>
      <c r="ET3" s="22"/>
      <c r="EU3" s="22"/>
      <c r="EV3" s="22"/>
      <c r="EW3" s="22"/>
      <c r="EX3" s="22"/>
      <c r="EY3" s="22"/>
      <c r="EZ3" s="22"/>
      <c r="FA3" s="22"/>
      <c r="FB3" s="22"/>
      <c r="FC3" s="22"/>
      <c r="FD3" s="22"/>
      <c r="FE3" s="22"/>
      <c r="FF3" s="22"/>
      <c r="FG3" s="22"/>
      <c r="FH3" s="22"/>
      <c r="FI3" s="22"/>
      <c r="FJ3" s="22"/>
      <c r="FK3" s="22"/>
      <c r="FL3" s="22"/>
      <c r="FM3" s="22"/>
      <c r="FN3" s="22"/>
      <c r="FO3" s="22"/>
      <c r="FP3" s="22"/>
      <c r="FQ3" s="22"/>
      <c r="FR3" s="22"/>
      <c r="FS3" s="22"/>
      <c r="FT3" s="22"/>
      <c r="FU3" s="22"/>
      <c r="FV3" s="22"/>
      <c r="FW3" s="22"/>
      <c r="FX3" s="22"/>
      <c r="FY3" s="22"/>
      <c r="FZ3" s="22"/>
      <c r="GA3" s="22"/>
      <c r="GB3" s="22"/>
      <c r="GC3" s="22"/>
      <c r="GD3" s="22"/>
      <c r="GE3" s="22"/>
      <c r="GF3" s="22"/>
      <c r="GG3" s="22"/>
      <c r="GH3" s="22"/>
      <c r="GI3" s="22"/>
      <c r="GJ3" s="22"/>
      <c r="GK3" s="22"/>
      <c r="GL3" s="22"/>
      <c r="GM3" s="22"/>
      <c r="GN3" s="22"/>
      <c r="GO3" s="22"/>
      <c r="GP3" s="22"/>
      <c r="GQ3" s="22"/>
      <c r="GR3" s="22"/>
      <c r="GS3" s="22"/>
      <c r="GT3" s="22"/>
      <c r="GU3" s="22"/>
      <c r="GV3" s="22"/>
      <c r="GW3" s="22"/>
      <c r="GX3" s="22"/>
      <c r="GY3" s="22"/>
      <c r="GZ3" s="22"/>
      <c r="HA3" s="22"/>
      <c r="HB3" s="22"/>
      <c r="HC3" s="22"/>
      <c r="HD3" s="22"/>
      <c r="HE3" s="22"/>
      <c r="HF3" s="22"/>
      <c r="HG3" s="22"/>
      <c r="HH3" s="22"/>
      <c r="HI3" s="22"/>
      <c r="HJ3" s="22"/>
      <c r="HK3" s="22"/>
      <c r="HL3" s="22"/>
      <c r="HM3" s="22"/>
      <c r="HN3" s="22"/>
      <c r="HO3" s="22"/>
      <c r="HP3" s="22"/>
      <c r="HQ3" s="22"/>
      <c r="HR3" s="22"/>
      <c r="HS3" s="22"/>
      <c r="HT3" s="22"/>
      <c r="HU3" s="22"/>
      <c r="HV3" s="22"/>
      <c r="HW3" s="22"/>
      <c r="HX3" s="22"/>
      <c r="HY3" s="22"/>
      <c r="HZ3" s="22"/>
      <c r="IA3" s="22"/>
      <c r="IB3" s="22"/>
      <c r="IC3" s="22"/>
      <c r="ID3" s="22"/>
      <c r="IE3" s="22"/>
      <c r="IF3" s="22"/>
      <c r="IG3" s="22"/>
      <c r="IH3" s="22"/>
      <c r="II3" s="22"/>
      <c r="IJ3" s="22"/>
      <c r="IK3" s="22"/>
      <c r="IL3" s="22"/>
      <c r="IM3" s="22"/>
      <c r="IN3" s="22"/>
      <c r="IO3" s="22"/>
      <c r="IP3" s="22"/>
      <c r="IQ3" s="22"/>
      <c r="IR3" s="22"/>
      <c r="IS3" s="22"/>
      <c r="IT3" s="22"/>
      <c r="IU3" s="22"/>
      <c r="IV3" s="22"/>
      <c r="IW3" s="22"/>
      <c r="IX3" s="22"/>
      <c r="IY3" s="22"/>
      <c r="IZ3" s="22"/>
      <c r="JA3" s="22"/>
      <c r="JB3" s="22"/>
      <c r="JC3" s="22"/>
      <c r="JD3" s="22"/>
      <c r="JE3" s="22"/>
      <c r="JF3" s="22"/>
      <c r="JG3" s="22"/>
      <c r="JH3" s="22"/>
      <c r="JI3" s="22"/>
      <c r="JJ3" s="22"/>
      <c r="JK3" s="22"/>
      <c r="JL3" s="22"/>
      <c r="JM3" s="22"/>
      <c r="JN3" s="22"/>
      <c r="JO3" s="22"/>
      <c r="JP3" s="22"/>
      <c r="JQ3" s="22"/>
      <c r="JR3" s="22"/>
      <c r="JS3" s="22"/>
      <c r="JT3" s="22"/>
      <c r="JU3" s="22"/>
      <c r="JV3" s="22"/>
      <c r="JW3" s="22"/>
      <c r="JX3" s="22"/>
      <c r="JY3" s="22"/>
      <c r="JZ3" s="22"/>
      <c r="KA3" s="22"/>
      <c r="KB3" s="22"/>
      <c r="KC3" s="22"/>
      <c r="KD3" s="22"/>
      <c r="KE3" s="22"/>
      <c r="KF3" s="22"/>
      <c r="KG3" s="22"/>
      <c r="KH3" s="22"/>
      <c r="KI3" s="22"/>
      <c r="KJ3" s="22"/>
      <c r="KK3" s="22"/>
      <c r="KL3" s="22"/>
      <c r="KM3" s="22"/>
      <c r="KN3" s="22"/>
      <c r="KO3" s="22"/>
      <c r="KP3" s="22"/>
      <c r="KQ3" s="22"/>
      <c r="KR3" s="22"/>
      <c r="KS3" s="22"/>
      <c r="KT3" s="22"/>
      <c r="KU3" s="22"/>
      <c r="KV3" s="22"/>
      <c r="KW3" s="22"/>
      <c r="KX3" s="22"/>
      <c r="KY3" s="22"/>
      <c r="KZ3" s="22"/>
      <c r="LA3" s="22"/>
      <c r="LB3" s="22"/>
      <c r="LC3" s="22"/>
      <c r="LD3" s="22"/>
      <c r="LE3" s="22"/>
      <c r="LF3" s="22"/>
      <c r="LG3" s="22"/>
      <c r="LH3" s="22"/>
      <c r="LI3" s="22"/>
      <c r="LJ3" s="22"/>
      <c r="LK3" s="22"/>
      <c r="LL3" s="22"/>
      <c r="LM3" s="22"/>
      <c r="LN3" s="22"/>
      <c r="LO3" s="22"/>
      <c r="LP3" s="22"/>
      <c r="LQ3" s="22"/>
      <c r="LR3" s="22"/>
      <c r="LS3" s="22"/>
      <c r="LT3" s="22"/>
      <c r="LU3" s="22"/>
      <c r="LV3" s="22"/>
      <c r="LW3" s="22"/>
      <c r="LX3" s="22"/>
      <c r="LY3" s="22"/>
      <c r="LZ3" s="22"/>
      <c r="MA3" s="22"/>
      <c r="MB3" s="22"/>
      <c r="MC3" s="22"/>
      <c r="MD3" s="22"/>
      <c r="ME3" s="22"/>
      <c r="MF3" s="22"/>
      <c r="MG3" s="22"/>
      <c r="MH3" s="22"/>
      <c r="MI3" s="22"/>
      <c r="MJ3" s="22"/>
      <c r="MK3" s="22"/>
      <c r="ML3" s="22"/>
      <c r="MM3" s="22"/>
      <c r="MN3" s="22"/>
      <c r="MO3" s="22"/>
      <c r="MP3" s="22"/>
      <c r="MQ3" s="22"/>
      <c r="MR3" s="22"/>
      <c r="MS3" s="22"/>
      <c r="MT3" s="22"/>
      <c r="MU3" s="22"/>
      <c r="MV3" s="22"/>
      <c r="MW3" s="22"/>
      <c r="MX3" s="22"/>
      <c r="MY3" s="22"/>
      <c r="MZ3" s="22"/>
      <c r="NA3" s="22"/>
      <c r="NB3" s="22"/>
      <c r="NC3" s="22"/>
      <c r="ND3" s="22"/>
      <c r="NE3" s="22"/>
      <c r="NF3" s="22"/>
      <c r="NG3" s="22"/>
      <c r="NH3" s="22"/>
      <c r="NI3" s="22"/>
      <c r="NJ3" s="22"/>
      <c r="NK3" s="22"/>
      <c r="NL3" s="22"/>
      <c r="NM3" s="22"/>
      <c r="NN3" s="22"/>
      <c r="NO3" s="22"/>
      <c r="NP3" s="22"/>
      <c r="NQ3" s="22"/>
      <c r="NR3" s="22"/>
      <c r="NS3" s="22"/>
      <c r="NT3" s="22"/>
      <c r="NU3" s="22"/>
      <c r="NV3" s="22"/>
      <c r="NW3" s="22"/>
      <c r="NX3" s="22"/>
      <c r="NY3" s="22"/>
      <c r="NZ3" s="22"/>
      <c r="OA3" s="22"/>
      <c r="OB3" s="22"/>
      <c r="OC3" s="22"/>
      <c r="OD3" s="22"/>
      <c r="OE3" s="22"/>
      <c r="OF3" s="22"/>
      <c r="OG3" s="22"/>
      <c r="OH3" s="22"/>
      <c r="OI3" s="22"/>
      <c r="OJ3" s="22"/>
      <c r="OK3" s="22"/>
      <c r="OL3" s="22"/>
      <c r="OM3" s="22"/>
      <c r="ON3" s="22"/>
      <c r="OO3" s="22"/>
      <c r="OP3" s="22"/>
      <c r="OQ3" s="22"/>
      <c r="OR3" s="22"/>
      <c r="OS3" s="22"/>
      <c r="OT3" s="22"/>
      <c r="OU3" s="22"/>
      <c r="OV3" s="22"/>
      <c r="OW3" s="22"/>
      <c r="OX3" s="22"/>
      <c r="OY3" s="22"/>
      <c r="OZ3" s="22"/>
      <c r="PA3" s="22"/>
      <c r="PB3" s="22"/>
      <c r="PC3" s="22"/>
      <c r="PD3" s="22"/>
      <c r="PE3" s="22"/>
      <c r="PF3" s="22"/>
      <c r="PG3" s="22"/>
      <c r="PH3" s="22"/>
      <c r="PI3" s="22"/>
      <c r="PJ3" s="22"/>
      <c r="PK3" s="22"/>
      <c r="PL3" s="22"/>
      <c r="PM3" s="22"/>
      <c r="PN3" s="22"/>
      <c r="PO3" s="22"/>
      <c r="PP3" s="22"/>
      <c r="PQ3" s="22"/>
      <c r="PR3" s="22"/>
      <c r="PS3" s="22"/>
      <c r="PT3" s="22"/>
      <c r="PU3" s="22"/>
      <c r="PV3" s="22"/>
      <c r="PW3" s="22"/>
      <c r="PX3" s="22"/>
      <c r="PY3" s="22"/>
      <c r="PZ3" s="22"/>
      <c r="QA3" s="22"/>
      <c r="QB3" s="22"/>
      <c r="QC3" s="22"/>
      <c r="QD3" s="22"/>
      <c r="QE3" s="22"/>
      <c r="QF3" s="22"/>
      <c r="QG3" s="22"/>
      <c r="QH3" s="22"/>
      <c r="QI3" s="22"/>
      <c r="QJ3" s="22"/>
      <c r="QK3" s="22"/>
      <c r="QL3" s="22"/>
      <c r="QM3" s="22"/>
      <c r="QN3" s="22"/>
      <c r="QO3" s="22"/>
      <c r="QP3" s="22"/>
      <c r="QQ3" s="22"/>
      <c r="QR3" s="22"/>
      <c r="QS3" s="22"/>
      <c r="QT3" s="22"/>
      <c r="QU3" s="22"/>
      <c r="QV3" s="22"/>
      <c r="QW3" s="22"/>
      <c r="QX3" s="22"/>
      <c r="QY3" s="22"/>
      <c r="QZ3" s="22"/>
      <c r="RA3" s="22"/>
      <c r="RB3" s="22"/>
      <c r="RC3" s="22"/>
      <c r="RD3" s="22"/>
      <c r="RE3" s="22"/>
      <c r="RF3" s="22"/>
      <c r="RG3" s="22"/>
      <c r="RH3" s="22"/>
      <c r="RI3" s="22"/>
      <c r="RJ3" s="22"/>
      <c r="RK3" s="22"/>
      <c r="RL3" s="22"/>
      <c r="RM3" s="22"/>
      <c r="RN3" s="22"/>
      <c r="RO3" s="22"/>
      <c r="RP3" s="22"/>
      <c r="RQ3" s="22"/>
      <c r="RR3" s="22"/>
      <c r="RS3" s="22"/>
      <c r="RT3" s="22"/>
      <c r="RU3" s="22"/>
      <c r="RV3" s="22"/>
      <c r="RW3" s="22"/>
      <c r="RX3" s="22"/>
      <c r="RY3" s="22"/>
      <c r="RZ3" s="22"/>
      <c r="SA3" s="22"/>
      <c r="SB3" s="22"/>
      <c r="SC3" s="22"/>
      <c r="SD3" s="22"/>
      <c r="SE3" s="22"/>
      <c r="SF3" s="22"/>
      <c r="SG3" s="22"/>
      <c r="SH3" s="22"/>
      <c r="SI3" s="22"/>
      <c r="SJ3" s="22"/>
      <c r="SK3" s="22"/>
      <c r="SL3" s="22"/>
      <c r="SM3" s="22"/>
      <c r="SN3" s="22"/>
      <c r="SO3" s="22"/>
      <c r="SP3" s="22"/>
      <c r="SQ3" s="22"/>
      <c r="SR3" s="22"/>
      <c r="SS3" s="22"/>
      <c r="ST3" s="22"/>
      <c r="SU3" s="22"/>
      <c r="SV3" s="22"/>
      <c r="SW3" s="22"/>
      <c r="SX3" s="22"/>
      <c r="SY3" s="22"/>
      <c r="SZ3" s="22"/>
      <c r="TA3" s="22"/>
      <c r="TB3" s="22"/>
      <c r="TC3" s="22"/>
      <c r="TD3" s="22"/>
      <c r="TE3" s="22"/>
      <c r="TF3" s="22"/>
      <c r="TG3" s="22"/>
      <c r="TH3" s="22"/>
      <c r="TI3" s="22"/>
      <c r="TJ3" s="22"/>
      <c r="TK3" s="22"/>
      <c r="TL3" s="22"/>
      <c r="TM3" s="22"/>
      <c r="TN3" s="22"/>
      <c r="TO3" s="22"/>
      <c r="TP3" s="22"/>
      <c r="TQ3" s="22"/>
      <c r="TR3" s="22"/>
      <c r="TS3" s="22"/>
      <c r="TT3" s="22"/>
      <c r="TU3" s="22"/>
      <c r="TV3" s="22"/>
      <c r="TW3" s="22"/>
      <c r="TX3" s="22"/>
      <c r="TY3" s="22"/>
      <c r="TZ3" s="22"/>
      <c r="UA3" s="22"/>
      <c r="UB3" s="22"/>
      <c r="UC3" s="22"/>
      <c r="UD3" s="22"/>
      <c r="UE3" s="22"/>
      <c r="UF3" s="22"/>
      <c r="UG3" s="22"/>
      <c r="UH3" s="22"/>
      <c r="UI3" s="22"/>
      <c r="UJ3" s="22"/>
      <c r="UK3" s="22"/>
      <c r="UL3" s="22"/>
      <c r="UM3" s="22"/>
      <c r="UN3" s="22"/>
      <c r="UO3" s="22"/>
      <c r="UP3" s="22"/>
      <c r="UQ3" s="22"/>
      <c r="UR3" s="22"/>
      <c r="US3" s="22"/>
      <c r="UT3" s="22"/>
      <c r="UU3" s="22"/>
      <c r="UV3" s="22"/>
      <c r="UW3" s="22"/>
      <c r="UX3" s="22"/>
      <c r="UY3" s="22"/>
      <c r="UZ3" s="22"/>
      <c r="VA3" s="22"/>
      <c r="VB3" s="22"/>
      <c r="VC3" s="22"/>
      <c r="VD3" s="22"/>
      <c r="VE3" s="22"/>
      <c r="VF3" s="22"/>
      <c r="VG3" s="22"/>
      <c r="VH3" s="22"/>
      <c r="VI3" s="22"/>
      <c r="VJ3" s="22"/>
      <c r="VK3" s="22"/>
      <c r="VL3" s="22"/>
      <c r="VM3" s="22"/>
      <c r="VN3" s="22"/>
      <c r="VO3" s="22"/>
      <c r="VP3" s="22"/>
      <c r="VQ3" s="22"/>
      <c r="VR3" s="22"/>
      <c r="VS3" s="22"/>
      <c r="VT3" s="22"/>
      <c r="VU3" s="22"/>
      <c r="VV3" s="22"/>
      <c r="VW3" s="22"/>
      <c r="VX3" s="22"/>
      <c r="VY3" s="22"/>
      <c r="VZ3" s="22"/>
      <c r="WA3" s="22"/>
      <c r="WB3" s="22"/>
      <c r="WC3" s="22"/>
      <c r="WD3" s="22"/>
      <c r="WE3" s="22"/>
      <c r="WF3" s="22"/>
      <c r="WG3" s="22"/>
      <c r="WH3" s="22"/>
      <c r="WI3" s="22"/>
      <c r="WJ3" s="22"/>
      <c r="WK3" s="22"/>
      <c r="WL3" s="22"/>
      <c r="WM3" s="22"/>
      <c r="WN3" s="22"/>
      <c r="WO3" s="22"/>
      <c r="WP3" s="22"/>
      <c r="WQ3" s="22"/>
      <c r="WR3" s="22"/>
      <c r="WS3" s="22"/>
      <c r="WT3" s="22"/>
      <c r="WU3" s="22"/>
      <c r="WV3" s="22"/>
      <c r="WW3" s="22"/>
      <c r="WX3" s="22"/>
      <c r="WY3" s="22"/>
      <c r="WZ3" s="22"/>
      <c r="XA3" s="22"/>
      <c r="XB3" s="22"/>
      <c r="XC3" s="22"/>
      <c r="XD3" s="22"/>
      <c r="XE3" s="22"/>
      <c r="XF3" s="22"/>
      <c r="XG3" s="22"/>
      <c r="XH3" s="22"/>
      <c r="XI3" s="22"/>
      <c r="XJ3" s="22"/>
      <c r="XK3" s="22"/>
      <c r="XL3" s="22"/>
      <c r="XM3" s="22"/>
      <c r="XN3" s="22"/>
      <c r="XO3" s="22"/>
      <c r="XP3" s="22"/>
      <c r="XQ3" s="22"/>
      <c r="XR3" s="22"/>
      <c r="XS3" s="22"/>
      <c r="XT3" s="22"/>
      <c r="XU3" s="22"/>
      <c r="XV3" s="22"/>
      <c r="XW3" s="22"/>
      <c r="XX3" s="22"/>
      <c r="XY3" s="22"/>
      <c r="XZ3" s="22"/>
      <c r="YA3" s="22"/>
      <c r="YB3" s="22"/>
      <c r="YC3" s="22"/>
      <c r="YD3" s="22"/>
      <c r="YE3" s="22"/>
      <c r="YF3" s="22"/>
      <c r="YG3" s="22"/>
      <c r="YH3" s="22"/>
      <c r="YI3" s="22"/>
      <c r="YJ3" s="22"/>
      <c r="YK3" s="22"/>
      <c r="YL3" s="22"/>
      <c r="YM3" s="22"/>
      <c r="YN3" s="22"/>
      <c r="YO3" s="22"/>
      <c r="YP3" s="22"/>
      <c r="YQ3" s="22"/>
      <c r="YR3" s="22"/>
      <c r="YS3" s="22"/>
      <c r="YT3" s="22"/>
      <c r="YU3" s="22"/>
      <c r="YV3" s="22"/>
      <c r="YW3" s="22"/>
      <c r="YX3" s="22"/>
      <c r="YY3" s="22"/>
      <c r="YZ3" s="22"/>
      <c r="ZA3" s="22"/>
      <c r="ZB3" s="22"/>
      <c r="ZC3" s="22"/>
      <c r="ZD3" s="22"/>
      <c r="ZE3" s="22"/>
      <c r="ZF3" s="22"/>
      <c r="ZG3" s="22"/>
      <c r="ZH3" s="22"/>
      <c r="ZI3" s="22"/>
      <c r="ZJ3" s="22"/>
      <c r="ZK3" s="22"/>
      <c r="ZL3" s="22"/>
      <c r="ZM3" s="22"/>
      <c r="ZN3" s="22"/>
      <c r="ZO3" s="22"/>
      <c r="ZP3" s="22"/>
      <c r="ZQ3" s="22"/>
      <c r="ZR3" s="22"/>
      <c r="ZS3" s="22"/>
      <c r="ZT3" s="22"/>
      <c r="ZU3" s="22"/>
      <c r="ZV3" s="22"/>
      <c r="ZW3" s="22"/>
      <c r="ZX3" s="22"/>
      <c r="ZY3" s="22"/>
      <c r="ZZ3" s="22"/>
      <c r="AAA3" s="22"/>
      <c r="AAB3" s="22"/>
      <c r="AAC3" s="22"/>
      <c r="AAD3" s="22"/>
      <c r="AAE3" s="22"/>
      <c r="AAF3" s="22"/>
      <c r="AAG3" s="22"/>
      <c r="AAH3" s="22"/>
      <c r="AAI3" s="22"/>
      <c r="AAJ3" s="22"/>
      <c r="AAK3" s="22"/>
      <c r="AAL3" s="22"/>
      <c r="AAM3" s="22"/>
      <c r="AAN3" s="22"/>
      <c r="AAO3" s="22"/>
      <c r="AAP3" s="22"/>
      <c r="AAQ3" s="22"/>
      <c r="AAR3" s="22"/>
      <c r="AAS3" s="22"/>
      <c r="AAT3" s="22"/>
      <c r="AAU3" s="22"/>
      <c r="AAV3" s="22"/>
      <c r="AAW3" s="22"/>
      <c r="AAX3" s="22"/>
      <c r="AAY3" s="22"/>
      <c r="AAZ3" s="22"/>
      <c r="ABA3" s="22"/>
      <c r="ABB3" s="22"/>
      <c r="ABC3" s="22"/>
      <c r="ABD3" s="22"/>
      <c r="ABE3" s="22"/>
      <c r="ABF3" s="22"/>
      <c r="ABG3" s="22"/>
      <c r="ABH3" s="22"/>
      <c r="ABI3" s="22"/>
      <c r="ABJ3" s="22"/>
      <c r="ABK3" s="22"/>
      <c r="ABL3" s="22"/>
      <c r="ABM3" s="22"/>
      <c r="ABN3" s="22"/>
      <c r="ABO3" s="22"/>
      <c r="ABP3" s="22"/>
      <c r="ABQ3" s="22"/>
      <c r="ABR3" s="22"/>
      <c r="ABS3" s="22"/>
      <c r="ABT3" s="22"/>
      <c r="ABU3" s="22"/>
      <c r="ABV3" s="22"/>
      <c r="ABW3" s="22"/>
      <c r="ABX3" s="22"/>
      <c r="ABY3" s="22"/>
      <c r="ABZ3" s="22"/>
      <c r="ACA3" s="22"/>
      <c r="ACB3" s="22"/>
      <c r="ACC3" s="22"/>
      <c r="ACD3" s="22"/>
      <c r="ACE3" s="22"/>
      <c r="ACF3" s="22"/>
      <c r="ACG3" s="22"/>
      <c r="ACH3" s="22"/>
      <c r="ACI3" s="22"/>
      <c r="ACJ3" s="22"/>
      <c r="ACK3" s="22"/>
      <c r="ACL3" s="22"/>
      <c r="ACM3" s="22"/>
      <c r="ACN3" s="22"/>
      <c r="ACO3" s="22"/>
      <c r="ACP3" s="22"/>
      <c r="ACQ3" s="22"/>
      <c r="ACR3" s="22"/>
      <c r="ACS3" s="22"/>
      <c r="ACT3" s="22"/>
      <c r="ACU3" s="22"/>
      <c r="ACV3" s="22"/>
      <c r="ACW3" s="22"/>
      <c r="ACX3" s="22"/>
      <c r="ACY3" s="22"/>
      <c r="ACZ3" s="22"/>
      <c r="ADA3" s="22"/>
      <c r="ADB3" s="22"/>
      <c r="ADC3" s="22"/>
      <c r="ADD3" s="22"/>
      <c r="ADE3" s="22"/>
      <c r="ADF3" s="22"/>
      <c r="ADG3" s="22"/>
      <c r="ADH3" s="22"/>
      <c r="ADI3" s="22"/>
      <c r="ADJ3" s="22"/>
      <c r="ADK3" s="22"/>
      <c r="ADL3" s="22"/>
      <c r="ADM3" s="22"/>
      <c r="ADN3" s="22"/>
      <c r="ADO3" s="22"/>
      <c r="ADP3" s="22"/>
      <c r="ADQ3" s="22"/>
      <c r="ADR3" s="22"/>
      <c r="ADS3" s="22"/>
      <c r="ADT3" s="22"/>
      <c r="ADU3" s="22"/>
      <c r="ADV3" s="22"/>
      <c r="ADW3" s="22"/>
      <c r="ADX3" s="22"/>
      <c r="ADY3" s="22"/>
      <c r="ADZ3" s="22"/>
      <c r="AEA3" s="22"/>
      <c r="AEB3" s="22"/>
      <c r="AEC3" s="22"/>
      <c r="AED3" s="22"/>
      <c r="AEE3" s="22"/>
      <c r="AEF3" s="22"/>
      <c r="AEG3" s="22"/>
      <c r="AEH3" s="22"/>
      <c r="AEI3" s="22"/>
      <c r="AEJ3" s="22"/>
      <c r="AEK3" s="22"/>
      <c r="AEL3" s="22"/>
      <c r="AEM3" s="22"/>
      <c r="AEN3" s="22"/>
      <c r="AEO3" s="22"/>
      <c r="AEP3" s="22"/>
      <c r="AEQ3" s="22"/>
      <c r="AER3" s="22"/>
      <c r="AES3" s="22"/>
      <c r="AET3" s="22"/>
      <c r="AEU3" s="22"/>
      <c r="AEV3" s="22"/>
      <c r="AEW3" s="22"/>
      <c r="AEX3" s="22"/>
      <c r="AEY3" s="22"/>
      <c r="AEZ3" s="22"/>
      <c r="AFA3" s="22"/>
      <c r="AFB3" s="22"/>
      <c r="AFC3" s="22"/>
      <c r="AFD3" s="22"/>
      <c r="AFE3" s="22"/>
      <c r="AFF3" s="22"/>
      <c r="AFG3" s="22"/>
      <c r="AFH3" s="22"/>
      <c r="AFI3" s="22"/>
      <c r="AFJ3" s="22"/>
      <c r="AFK3" s="22"/>
      <c r="AFL3" s="22"/>
      <c r="AFM3" s="22"/>
      <c r="AFN3" s="22"/>
      <c r="AFO3" s="22"/>
      <c r="AFP3" s="22"/>
      <c r="AFQ3" s="22"/>
      <c r="AFR3" s="22"/>
      <c r="AFS3" s="22"/>
      <c r="AFT3" s="22"/>
      <c r="AFU3" s="22"/>
      <c r="AFV3" s="22"/>
      <c r="AFW3" s="22"/>
      <c r="AFX3" s="22"/>
      <c r="AFY3" s="22"/>
      <c r="AFZ3" s="22"/>
      <c r="AGA3" s="22"/>
      <c r="AGB3" s="22"/>
      <c r="AGC3" s="22"/>
      <c r="AGD3" s="22"/>
      <c r="AGE3" s="22"/>
      <c r="AGF3" s="22"/>
      <c r="AGG3" s="22"/>
      <c r="AGH3" s="22"/>
      <c r="AGI3" s="22"/>
      <c r="AGJ3" s="22"/>
      <c r="AGK3" s="22"/>
      <c r="AGL3" s="22"/>
      <c r="AGM3" s="22"/>
      <c r="AGN3" s="22"/>
      <c r="AGO3" s="22"/>
      <c r="AGP3" s="22"/>
      <c r="AGQ3" s="22"/>
      <c r="AGR3" s="22"/>
      <c r="AGS3" s="22"/>
      <c r="AGT3" s="22"/>
      <c r="AGU3" s="22"/>
      <c r="AGV3" s="22"/>
      <c r="AGW3" s="22"/>
      <c r="AGX3" s="22"/>
      <c r="AGY3" s="22"/>
      <c r="AGZ3" s="22"/>
      <c r="AHA3" s="22"/>
      <c r="AHB3" s="22"/>
      <c r="AHC3" s="22"/>
      <c r="AHD3" s="22"/>
      <c r="AHE3" s="22"/>
      <c r="AHF3" s="22"/>
      <c r="AHG3" s="22"/>
      <c r="AHH3" s="22"/>
      <c r="AHI3" s="22"/>
      <c r="AHJ3" s="22"/>
      <c r="AHK3" s="22"/>
      <c r="AHL3" s="22"/>
      <c r="AHM3" s="22"/>
      <c r="AHN3" s="22"/>
      <c r="AHO3" s="22"/>
      <c r="AHP3" s="22"/>
      <c r="AHQ3" s="22"/>
      <c r="AHR3" s="22"/>
      <c r="AHS3" s="22"/>
      <c r="AHT3" s="22"/>
      <c r="AHU3" s="22"/>
      <c r="AHV3" s="22"/>
      <c r="AHW3" s="22"/>
      <c r="AHX3" s="22"/>
      <c r="AHY3" s="22"/>
      <c r="AHZ3" s="22"/>
      <c r="AIA3" s="22"/>
      <c r="AIB3" s="22"/>
      <c r="AIC3" s="22"/>
      <c r="AID3" s="22"/>
      <c r="AIE3" s="22"/>
      <c r="AIF3" s="22"/>
      <c r="AIG3" s="22"/>
      <c r="AIH3" s="22"/>
      <c r="AII3" s="22"/>
      <c r="AIJ3" s="22"/>
      <c r="AIK3" s="22"/>
      <c r="AIL3" s="22"/>
      <c r="AIM3" s="22"/>
      <c r="AIN3" s="22"/>
      <c r="AIO3" s="22"/>
      <c r="AIP3" s="22"/>
      <c r="AIQ3" s="22"/>
      <c r="AIR3" s="22"/>
      <c r="AIS3" s="22"/>
      <c r="AIT3" s="22"/>
      <c r="AIU3" s="22"/>
      <c r="AIV3" s="22"/>
      <c r="AIW3" s="22"/>
      <c r="AIX3" s="22"/>
      <c r="AIY3" s="22"/>
      <c r="AIZ3" s="22"/>
      <c r="AJA3" s="22"/>
      <c r="AJB3" s="22"/>
      <c r="AJC3" s="22"/>
      <c r="AJD3" s="22"/>
      <c r="AJE3" s="22"/>
      <c r="AJF3" s="22"/>
      <c r="AJG3" s="22"/>
      <c r="AJH3" s="22"/>
      <c r="AJI3" s="22"/>
      <c r="AJJ3" s="22"/>
      <c r="AJK3" s="22"/>
      <c r="AJL3" s="22"/>
      <c r="AJM3" s="22"/>
      <c r="AJN3" s="22"/>
      <c r="AJO3" s="22"/>
      <c r="AJP3" s="22"/>
      <c r="AJQ3" s="22"/>
      <c r="AJR3" s="22"/>
      <c r="AJS3" s="22"/>
      <c r="AJT3" s="22"/>
      <c r="AJU3" s="22"/>
      <c r="AJV3" s="22"/>
      <c r="AJW3" s="22"/>
      <c r="AJX3" s="22"/>
      <c r="AJY3" s="22"/>
      <c r="AJZ3" s="22"/>
      <c r="AKA3" s="22"/>
      <c r="AKB3" s="22"/>
      <c r="AKC3" s="22"/>
      <c r="AKD3" s="22"/>
      <c r="AKE3" s="22"/>
      <c r="AKF3" s="22"/>
      <c r="AKG3" s="22"/>
      <c r="AKH3" s="22"/>
      <c r="AKI3" s="22"/>
      <c r="AKJ3" s="22"/>
      <c r="AKK3" s="22"/>
      <c r="AKL3" s="22"/>
      <c r="AKM3" s="22"/>
      <c r="AKN3" s="22"/>
      <c r="AKO3" s="22"/>
      <c r="AKP3" s="22"/>
      <c r="AKQ3" s="22"/>
      <c r="AKR3" s="22"/>
      <c r="AKS3" s="22"/>
      <c r="AKT3" s="22"/>
      <c r="AKU3" s="22"/>
      <c r="AKV3" s="22"/>
      <c r="AKW3" s="22"/>
      <c r="AKX3" s="22"/>
      <c r="AKY3" s="22"/>
      <c r="AKZ3" s="22"/>
      <c r="ALA3" s="22"/>
      <c r="ALB3" s="22"/>
      <c r="ALC3" s="22"/>
      <c r="ALD3" s="22"/>
      <c r="ALE3" s="22"/>
      <c r="ALF3" s="22"/>
      <c r="ALG3" s="22"/>
      <c r="ALH3" s="22"/>
      <c r="ALI3" s="22"/>
      <c r="ALJ3" s="22"/>
      <c r="ALK3" s="22"/>
      <c r="ALL3" s="22"/>
      <c r="ALM3" s="22"/>
      <c r="ALN3" s="22"/>
      <c r="ALO3" s="22"/>
      <c r="ALP3" s="22"/>
      <c r="ALQ3" s="22"/>
      <c r="ALR3" s="22"/>
      <c r="ALS3" s="22"/>
      <c r="ALT3" s="22"/>
      <c r="ALU3" s="22"/>
      <c r="ALV3" s="22"/>
      <c r="ALW3" s="22"/>
      <c r="ALX3" s="22"/>
      <c r="ALY3" s="22"/>
      <c r="ALZ3" s="22"/>
      <c r="AMA3" s="22"/>
      <c r="AMB3" s="22"/>
      <c r="AMC3" s="22"/>
      <c r="AMD3" s="22"/>
      <c r="AME3" s="22"/>
      <c r="AMF3" s="22"/>
      <c r="AMG3" s="22"/>
      <c r="AMH3" s="22"/>
    </row>
    <row r="4" spans="1:1022" ht="15.75" x14ac:dyDescent="0.25">
      <c r="A4" s="47"/>
      <c r="B4" s="48"/>
      <c r="C4" s="49"/>
      <c r="D4" s="50"/>
      <c r="E4" s="50"/>
      <c r="F4" s="50"/>
      <c r="G4" s="50"/>
      <c r="H4" s="50"/>
      <c r="I4" s="50"/>
      <c r="J4" s="50"/>
      <c r="K4" s="51"/>
      <c r="L4" s="51"/>
      <c r="M4" s="58"/>
      <c r="N4" s="48"/>
      <c r="O4" s="52"/>
      <c r="P4" s="52"/>
      <c r="Q4" s="52"/>
      <c r="R4" s="52"/>
      <c r="S4" s="34"/>
      <c r="T4" s="52"/>
      <c r="U4" s="53"/>
      <c r="V4" s="58"/>
      <c r="W4" s="54"/>
      <c r="X4" s="55">
        <f>SUM(X2:X2)</f>
        <v>18885600</v>
      </c>
      <c r="Y4" s="55">
        <f>SUM(Y2:Y2)</f>
        <v>17796827.200000003</v>
      </c>
      <c r="Z4" s="21"/>
      <c r="AA4" s="21"/>
      <c r="AB4" s="21"/>
    </row>
    <row r="5" spans="1:1022" ht="15.75" x14ac:dyDescent="0.25">
      <c r="A5" s="47"/>
      <c r="B5" s="48"/>
      <c r="C5" s="49"/>
      <c r="D5" s="50"/>
      <c r="E5" s="50"/>
      <c r="F5" s="50"/>
      <c r="G5" s="50"/>
      <c r="H5" s="50"/>
      <c r="I5" s="50"/>
      <c r="J5" s="50"/>
      <c r="K5" s="51"/>
      <c r="L5" s="51"/>
      <c r="M5" s="58"/>
      <c r="N5" s="48"/>
      <c r="O5" s="52"/>
      <c r="P5" s="52"/>
      <c r="Q5" s="52"/>
      <c r="R5" s="52"/>
      <c r="S5" s="34"/>
      <c r="T5" s="52"/>
      <c r="U5" s="53"/>
      <c r="V5" s="58"/>
      <c r="W5" s="54"/>
      <c r="X5" s="55"/>
      <c r="Y5" s="55"/>
      <c r="Z5" s="21"/>
      <c r="AA5" s="21"/>
      <c r="AB5" s="21"/>
    </row>
    <row r="6" spans="1:1022" ht="15.75" x14ac:dyDescent="0.25">
      <c r="A6" s="35"/>
      <c r="B6" s="36"/>
      <c r="C6" s="36"/>
      <c r="D6" s="37"/>
      <c r="E6" s="38">
        <f>SUM(E2:E2)</f>
        <v>6192</v>
      </c>
      <c r="F6" s="38"/>
      <c r="G6" s="38"/>
      <c r="H6" s="39"/>
      <c r="I6" s="38">
        <f>SUM(I2:I2)</f>
        <v>1032</v>
      </c>
      <c r="J6" s="38"/>
      <c r="K6" s="39"/>
      <c r="L6" s="59">
        <f>SUMIF(L2:L2,"&lt;&gt;#ДЕЛ/0!")</f>
        <v>149876.24096385544</v>
      </c>
      <c r="M6" s="60">
        <f>SUM(M2:M2)</f>
        <v>24024.959999999999</v>
      </c>
      <c r="O6" s="7"/>
      <c r="P6" s="40">
        <f>SUMIF(P2:P2,"&lt;&gt;#ДЕЛ/0!")</f>
        <v>12439728.000000002</v>
      </c>
      <c r="Q6" s="40">
        <f>SUMIF(Q2:Q2,"&lt;&gt;#ДЕЛ/0!")</f>
        <v>3731918.4000000004</v>
      </c>
      <c r="R6" s="40">
        <f>SUMIF(R2:R2,"&lt;&gt;#ДЕЛ/0!")</f>
        <v>1600180.8</v>
      </c>
      <c r="S6" s="40">
        <f>SUMIF(S2:S2,"&lt;&gt;#ДЕЛ/0!")</f>
        <v>25000.000000000004</v>
      </c>
      <c r="T6" s="40">
        <f>SUMIF(T2:T2,"&lt;&gt;#ДЕЛ/0!")</f>
        <v>17796827.200000003</v>
      </c>
      <c r="U6" s="41"/>
      <c r="V6" s="21"/>
      <c r="Y6" s="21"/>
      <c r="Z6" s="21"/>
      <c r="AA6" s="21"/>
      <c r="AB6" s="21"/>
      <c r="AMG6" s="5"/>
      <c r="AMH6" s="5"/>
    </row>
    <row r="7" spans="1:1022" ht="30" x14ac:dyDescent="0.25">
      <c r="L7" s="56" t="s">
        <v>22</v>
      </c>
      <c r="M7" s="57">
        <f>(M6/700)*20+M6</f>
        <v>24711.387428571426</v>
      </c>
      <c r="O7" s="7"/>
      <c r="P7" s="42" t="s">
        <v>23</v>
      </c>
      <c r="Q7" s="42" t="s">
        <v>23</v>
      </c>
      <c r="R7" s="42" t="s">
        <v>23</v>
      </c>
      <c r="S7" s="42" t="s">
        <v>23</v>
      </c>
      <c r="T7" s="43"/>
      <c r="X7" s="61" t="s">
        <v>24</v>
      </c>
      <c r="Y7" s="62">
        <f>(X4-Y4)/Y4</f>
        <v>6.1177916027638723E-2</v>
      </c>
    </row>
    <row r="8" spans="1:1022" ht="15.75" x14ac:dyDescent="0.25">
      <c r="L8" s="6"/>
      <c r="M8" s="6"/>
      <c r="P8" s="44">
        <f>L6*N2</f>
        <v>12439728.000000002</v>
      </c>
      <c r="Q8" s="44">
        <f>P8*0.3</f>
        <v>3731918.4000000004</v>
      </c>
      <c r="R8" s="45">
        <f>12000*N2+(E2*0.3*N2)+150000+150000+150000</f>
        <v>1600180.8</v>
      </c>
      <c r="S8" s="45">
        <v>25000</v>
      </c>
      <c r="T8" s="44">
        <f>P8+Q8+R8+S8</f>
        <v>17796827.200000003</v>
      </c>
    </row>
    <row r="9" spans="1:1022" x14ac:dyDescent="0.2">
      <c r="L9" s="6"/>
      <c r="M9" s="6"/>
      <c r="N9" s="5"/>
      <c r="Q9" s="5"/>
      <c r="R9" s="5"/>
      <c r="S9" s="5"/>
      <c r="T9" s="5"/>
    </row>
    <row r="10" spans="1:1022" x14ac:dyDescent="0.2">
      <c r="L10" s="6"/>
      <c r="M10" s="6"/>
      <c r="N10" s="5"/>
      <c r="Q10" s="5"/>
      <c r="R10" s="5"/>
      <c r="S10" s="5"/>
      <c r="T10" s="5"/>
    </row>
    <row r="11" spans="1:1022" x14ac:dyDescent="0.2">
      <c r="L11" s="6"/>
      <c r="M11" s="6"/>
      <c r="N11" s="5"/>
      <c r="Q11" s="5"/>
      <c r="R11" s="5"/>
      <c r="S11" s="5"/>
      <c r="T11" s="5"/>
    </row>
    <row r="12" spans="1:1022" x14ac:dyDescent="0.2">
      <c r="L12" s="6"/>
      <c r="M12" s="6"/>
      <c r="N12" s="5"/>
      <c r="Q12" s="46"/>
      <c r="R12" s="5"/>
      <c r="S12" s="5"/>
      <c r="T12" s="5"/>
    </row>
    <row r="13" spans="1:1022" x14ac:dyDescent="0.2">
      <c r="L13" s="6"/>
      <c r="M13" s="6"/>
      <c r="N13" s="5"/>
      <c r="Q13" s="5"/>
      <c r="R13" s="5"/>
      <c r="S13" s="5"/>
      <c r="T13" s="5"/>
    </row>
    <row r="14" spans="1:1022" x14ac:dyDescent="0.2">
      <c r="N14" s="5"/>
      <c r="Q14" s="5"/>
      <c r="R14" s="5"/>
      <c r="S14" s="5"/>
      <c r="T14" s="5"/>
    </row>
    <row r="15" spans="1:1022" x14ac:dyDescent="0.2">
      <c r="N15" s="5"/>
      <c r="Q15" s="5"/>
      <c r="R15" s="5"/>
      <c r="S15" s="5"/>
      <c r="T15" s="5"/>
    </row>
    <row r="16" spans="1:1022" x14ac:dyDescent="0.2">
      <c r="N16" s="5"/>
      <c r="Q16" s="5"/>
      <c r="R16" s="5"/>
      <c r="S16" s="5"/>
      <c r="T16" s="5"/>
    </row>
    <row r="17" spans="14:20" x14ac:dyDescent="0.2">
      <c r="N17" s="5"/>
      <c r="Q17" s="5"/>
      <c r="R17" s="5"/>
      <c r="S17" s="5"/>
      <c r="T17" s="5"/>
    </row>
    <row r="18" spans="14:20" x14ac:dyDescent="0.2">
      <c r="N18" s="5"/>
      <c r="Q18" s="5"/>
      <c r="R18" s="5"/>
      <c r="S18" s="5"/>
      <c r="T18" s="5"/>
    </row>
    <row r="19" spans="14:20" x14ac:dyDescent="0.2">
      <c r="N19" s="5"/>
      <c r="Q19" s="5"/>
      <c r="R19" s="5"/>
      <c r="S19" s="5"/>
      <c r="T19" s="5"/>
    </row>
    <row r="20" spans="14:20" x14ac:dyDescent="0.2">
      <c r="N20" s="5"/>
      <c r="Q20" s="5"/>
      <c r="R20" s="5"/>
      <c r="S20" s="5"/>
      <c r="T20" s="5"/>
    </row>
    <row r="21" spans="14:20" x14ac:dyDescent="0.2">
      <c r="N21" s="5"/>
      <c r="Q21" s="5"/>
      <c r="R21" s="5"/>
      <c r="S21" s="5"/>
      <c r="T21" s="5"/>
    </row>
    <row r="22" spans="14:20" x14ac:dyDescent="0.2">
      <c r="N22" s="5"/>
      <c r="Q22" s="5"/>
      <c r="R22" s="5"/>
      <c r="S22" s="5"/>
      <c r="T22" s="5"/>
    </row>
    <row r="23" spans="14:20" x14ac:dyDescent="0.2">
      <c r="N23" s="5"/>
      <c r="Q23" s="5"/>
      <c r="R23" s="5"/>
      <c r="S23" s="5"/>
      <c r="T23" s="5"/>
    </row>
    <row r="24" spans="14:20" x14ac:dyDescent="0.2">
      <c r="N24" s="5"/>
      <c r="Q24" s="5"/>
      <c r="R24" s="5"/>
      <c r="S24" s="5"/>
      <c r="T24" s="5"/>
    </row>
    <row r="25" spans="14:20" x14ac:dyDescent="0.2">
      <c r="N25" s="5"/>
      <c r="Q25" s="5"/>
      <c r="R25" s="5"/>
      <c r="S25" s="5"/>
      <c r="T25" s="5"/>
    </row>
    <row r="26" spans="14:20" x14ac:dyDescent="0.2">
      <c r="N26" s="5"/>
      <c r="Q26" s="5"/>
      <c r="R26" s="5"/>
      <c r="S26" s="5"/>
      <c r="T26" s="5"/>
    </row>
    <row r="27" spans="14:20" x14ac:dyDescent="0.2">
      <c r="N27" s="5"/>
      <c r="Q27" s="5"/>
      <c r="R27" s="5"/>
      <c r="S27" s="5"/>
      <c r="T27" s="5"/>
    </row>
    <row r="28" spans="14:20" x14ac:dyDescent="0.2">
      <c r="N28" s="5"/>
      <c r="Q28" s="5"/>
      <c r="R28" s="5"/>
      <c r="S28" s="5"/>
      <c r="T28" s="5"/>
    </row>
  </sheetData>
  <conditionalFormatting sqref="W8:W1048576 W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ФПЗ_Э8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62</cp:revision>
  <dcterms:created xsi:type="dcterms:W3CDTF">2024-10-07T18:09:28Z</dcterms:created>
  <dcterms:modified xsi:type="dcterms:W3CDTF">2026-04-20T08:21:08Z</dcterms:modified>
  <dc:language>ru-RU</dc:language>
</cp:coreProperties>
</file>