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7_APMG_STPARTSmix\"/>
    </mc:Choice>
  </mc:AlternateContent>
  <xr:revisionPtr revIDLastSave="0" documentId="13_ncr:1_{FE0CF6F3-E04A-41F6-88FB-31CC258C9985}" xr6:coauthVersionLast="47" xr6:coauthVersionMax="47" xr10:uidLastSave="{00000000-0000-0000-0000-000000000000}"/>
  <bookViews>
    <workbookView xWindow="2205" yWindow="2010" windowWidth="35295" windowHeight="18060" xr2:uid="{00000000-000D-0000-FFFF-FFFF00000000}"/>
  </bookViews>
  <sheets>
    <sheet name="ФПЗ_Э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  <c r="O2" i="1"/>
  <c r="G5" i="1"/>
  <c r="F5" i="1"/>
  <c r="L19" i="1"/>
  <c r="L5" i="1"/>
  <c r="E11" i="1"/>
  <c r="R13" i="1"/>
  <c r="I7" i="1"/>
  <c r="M7" i="1"/>
  <c r="K7" i="1"/>
  <c r="O7" i="1" s="1"/>
  <c r="I6" i="1"/>
  <c r="X6" i="1"/>
  <c r="X5" i="1"/>
  <c r="M6" i="1"/>
  <c r="K6" i="1"/>
  <c r="L6" i="1" s="1"/>
  <c r="L7" i="1" l="1"/>
  <c r="X7" i="1"/>
  <c r="O6" i="1"/>
  <c r="E4" i="1" l="1"/>
  <c r="F4" i="1"/>
  <c r="G3" i="1"/>
  <c r="F3" i="1"/>
  <c r="G4" i="1" l="1"/>
  <c r="X4" i="1"/>
  <c r="K3" i="1"/>
  <c r="K4" i="1"/>
  <c r="O4" i="1" s="1"/>
  <c r="K5" i="1"/>
  <c r="O5" i="1" s="1"/>
  <c r="X3" i="1"/>
  <c r="X2" i="1"/>
  <c r="K2" i="1"/>
  <c r="X9" i="1" l="1"/>
  <c r="M5" i="1"/>
  <c r="M11" i="1" s="1"/>
  <c r="L4" i="1"/>
  <c r="I4" i="1"/>
  <c r="M3" i="1"/>
  <c r="I5" i="1"/>
  <c r="I3" i="1"/>
  <c r="M4" i="1"/>
  <c r="L3" i="1"/>
  <c r="O3" i="1"/>
  <c r="M2" i="1"/>
  <c r="I2" i="1"/>
  <c r="L2" i="1"/>
  <c r="L11" i="1" s="1"/>
  <c r="P13" i="1" l="1"/>
  <c r="P5" i="1" s="1"/>
  <c r="L25" i="1"/>
  <c r="I11" i="1"/>
  <c r="S5" i="1"/>
  <c r="M12" i="1"/>
  <c r="S7" i="1"/>
  <c r="R6" i="1"/>
  <c r="S6" i="1"/>
  <c r="R7" i="1"/>
  <c r="R3" i="1"/>
  <c r="R5" i="1"/>
  <c r="S3" i="1"/>
  <c r="R4" i="1"/>
  <c r="S4" i="1"/>
  <c r="R2" i="1"/>
  <c r="S2" i="1"/>
  <c r="P4" i="1" l="1"/>
  <c r="P11" i="1" s="1"/>
  <c r="P7" i="1"/>
  <c r="P6" i="1"/>
  <c r="Q13" i="1"/>
  <c r="Q7" i="1" s="1"/>
  <c r="P2" i="1"/>
  <c r="P3" i="1"/>
  <c r="R11" i="1"/>
  <c r="S11" i="1"/>
  <c r="T7" i="1"/>
  <c r="U7" i="1" s="1"/>
  <c r="T13" i="1"/>
  <c r="Q6" i="1"/>
  <c r="T6" i="1" s="1"/>
  <c r="U6" i="1" s="1"/>
  <c r="Q4" i="1"/>
  <c r="Q3" i="1"/>
  <c r="T3" i="1" s="1"/>
  <c r="U3" i="1" s="1"/>
  <c r="Q5" i="1"/>
  <c r="T5" i="1" s="1"/>
  <c r="U5" i="1" s="1"/>
  <c r="Q2" i="1"/>
  <c r="Q11" i="1" s="1"/>
  <c r="T4" i="1" l="1"/>
  <c r="U4" i="1" s="1"/>
  <c r="W4" i="1" s="1"/>
  <c r="Y7" i="1"/>
  <c r="W7" i="1"/>
  <c r="Y6" i="1"/>
  <c r="W6" i="1"/>
  <c r="T2" i="1"/>
  <c r="T11" i="1" s="1"/>
  <c r="W5" i="1"/>
  <c r="Y5" i="1"/>
  <c r="W3" i="1"/>
  <c r="Y3" i="1"/>
  <c r="Y4" i="1" l="1"/>
  <c r="U2" i="1"/>
  <c r="Y2" i="1" s="1"/>
  <c r="Y9" i="1" l="1"/>
  <c r="Y12" i="1" s="1"/>
  <c r="W2" i="1"/>
</calcChain>
</file>

<file path=xl/sharedStrings.xml><?xml version="1.0" encoding="utf-8"?>
<sst xmlns="http://schemas.openxmlformats.org/spreadsheetml/2006/main" count="49" uniqueCount="44">
  <si>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</si>
  <si>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</si>
  <si>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</si>
  <si>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</si>
  <si>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</si>
  <si>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</si>
  <si>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</si>
  <si>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</si>
  <si>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</si>
  <si>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</si>
  <si>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</si>
  <si>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</si>
  <si>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</si>
  <si>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</si>
  <si>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</si>
  <si>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</si>
  <si>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</si>
  <si>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</si>
  <si>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</si>
  <si>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</si>
  <si>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</si>
  <si>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</si>
  <si>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</si>
  <si>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</si>
  <si>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</si>
  <si>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</si>
  <si>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</si>
  <si>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</si>
  <si>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</si>
  <si>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TwinPower Turbo LL-01 5W-30</t>
  </si>
  <si>
    <t>0888681885</t>
  </si>
  <si>
    <t>TOYOTA</t>
  </si>
  <si>
    <t>ATF WS</t>
  </si>
  <si>
    <t>601429774</t>
  </si>
  <si>
    <t>FUCSH</t>
  </si>
  <si>
    <t>Total CHF 11S</t>
  </si>
  <si>
    <t>MERSEDES-BENZ</t>
  </si>
  <si>
    <t>A000989330913ABDW</t>
  </si>
  <si>
    <t>229.52</t>
  </si>
  <si>
    <t>83212465843</t>
  </si>
  <si>
    <t>0450000115</t>
  </si>
  <si>
    <t>Hyundai/Kia</t>
  </si>
  <si>
    <t>HYUNDAI ATF SP-IV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</si>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</sst>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3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3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0" fontId="12" fillId="8" borderId="2" xfId="0" applyFont="1" applyFill="1" applyBorder="1" applyAlignment="1">
      <alignment horizontal="center" vertical="center"/>
    </xf>
    <xf numFmtId="10" fontId="12" fillId="8" borderId="2" xfId="3" applyNumberFormat="1" applyFont="1" applyFill="1" applyBorder="1" applyAlignment="1" applyProtection="1">
      <alignment horizontal="center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3"/>
  <sheetViews>
    <sheetView tabSelected="1" zoomScale="85" workbookViewId="0">
      <pane xSplit="5" ySplit="1" topLeftCell="F2" activePane="bottomRight" state="frozen"/>
      <selection sqref="A1:H5"/>
      <selection pane="topRight"/>
      <selection pane="bottomLeft"/>
      <selection pane="bottomRight" activeCell="J2" sqref="J2:J7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6" style="5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27</v>
      </c>
      <c r="G1" s="12" t="s">
        <v>28</v>
      </c>
      <c r="H1" s="10" t="s">
        <v>5</v>
      </c>
      <c r="I1" s="10" t="s">
        <v>6</v>
      </c>
      <c r="J1" s="10" t="s">
        <v>7</v>
      </c>
      <c r="K1" s="10" t="s">
        <v>26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15.75" x14ac:dyDescent="0.25">
      <c r="A2" s="23" t="s">
        <v>30</v>
      </c>
      <c r="B2" s="24" t="s">
        <v>31</v>
      </c>
      <c r="C2" s="25" t="s">
        <v>32</v>
      </c>
      <c r="D2" s="26">
        <v>4</v>
      </c>
      <c r="E2" s="26">
        <v>3712</v>
      </c>
      <c r="F2" s="26"/>
      <c r="G2" s="26"/>
      <c r="H2" s="26">
        <v>6</v>
      </c>
      <c r="I2" s="26">
        <f t="shared" ref="I2:I7" si="0">E2/H2</f>
        <v>618.66666666666663</v>
      </c>
      <c r="J2" s="27">
        <v>23</v>
      </c>
      <c r="K2" s="27">
        <f>J2+17/N2</f>
        <v>23.215189873417721</v>
      </c>
      <c r="L2" s="27">
        <f t="shared" ref="L2:L7" si="1">K2*E2</f>
        <v>86174.784810126584</v>
      </c>
      <c r="M2" s="28">
        <f t="shared" ref="M2:M7" si="2">D2*E2*0.97</f>
        <v>14402.56</v>
      </c>
      <c r="N2" s="24">
        <v>79</v>
      </c>
      <c r="O2" s="29">
        <f>K2*N2*1.0425</f>
        <v>1911.9449999999999</v>
      </c>
      <c r="P2" s="29">
        <f t="shared" ref="P2:P7" si="3">$P$13/$L$11*L2</f>
        <v>6807808</v>
      </c>
      <c r="Q2" s="29">
        <f t="shared" ref="Q2:Q7" si="4">$Q$13/$L$11*L2</f>
        <v>2042342.4000000004</v>
      </c>
      <c r="R2" s="29">
        <f t="shared" ref="R2:R7" si="5">$R$13/$M$11*M2</f>
        <v>1189944.3225915302</v>
      </c>
      <c r="S2" s="29">
        <f t="shared" ref="S2:S7" si="6">$S$13/$M$11*M2</f>
        <v>25051.459422979588</v>
      </c>
      <c r="T2" s="29">
        <f t="shared" ref="T2" si="7">P2+Q2+R2+S2</f>
        <v>10065146.18201451</v>
      </c>
      <c r="U2" s="30">
        <f t="shared" ref="U2:U7" si="8">IFERROR(SUM(T2/E2),"")</f>
        <v>2711.5156740340813</v>
      </c>
      <c r="V2" s="31">
        <v>3675</v>
      </c>
      <c r="W2" s="32">
        <f>IFERROR((V2-U2)/U2,"")</f>
        <v>0.35533053900163758</v>
      </c>
      <c r="X2" s="33">
        <f t="shared" ref="X2:X7" si="9">V2*E2</f>
        <v>13641600</v>
      </c>
      <c r="Y2" s="33">
        <f t="shared" ref="Y2:Y7" si="10">IFERROR(U2*E2,"")</f>
        <v>10065146.18201451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33</v>
      </c>
      <c r="B3" s="24" t="s">
        <v>34</v>
      </c>
      <c r="C3" s="25" t="s">
        <v>35</v>
      </c>
      <c r="D3" s="26">
        <v>1</v>
      </c>
      <c r="E3" s="26">
        <v>0</v>
      </c>
      <c r="F3" s="26">
        <f>600*4</f>
        <v>2400</v>
      </c>
      <c r="G3" s="26">
        <f>E3-F3</f>
        <v>-2400</v>
      </c>
      <c r="H3" s="26">
        <v>12</v>
      </c>
      <c r="I3" s="26">
        <f t="shared" si="0"/>
        <v>0</v>
      </c>
      <c r="J3" s="27">
        <v>9.1</v>
      </c>
      <c r="K3" s="27">
        <f t="shared" ref="K3:K5" si="11">J3+17/N3</f>
        <v>9.3151898734177205</v>
      </c>
      <c r="L3" s="27">
        <f t="shared" si="1"/>
        <v>0</v>
      </c>
      <c r="M3" s="28">
        <f t="shared" si="2"/>
        <v>0</v>
      </c>
      <c r="N3" s="24">
        <v>79</v>
      </c>
      <c r="O3" s="29">
        <f t="shared" ref="O3:O5" si="12">K3*N3*1.0425</f>
        <v>767.17574999999999</v>
      </c>
      <c r="P3" s="29">
        <f t="shared" si="3"/>
        <v>0</v>
      </c>
      <c r="Q3" s="29">
        <f t="shared" si="4"/>
        <v>0</v>
      </c>
      <c r="R3" s="29">
        <f t="shared" si="5"/>
        <v>0</v>
      </c>
      <c r="S3" s="29">
        <f t="shared" si="6"/>
        <v>0</v>
      </c>
      <c r="T3" s="29">
        <f t="shared" ref="T3:T4" si="13">P3+Q3+R3+S3</f>
        <v>0</v>
      </c>
      <c r="U3" s="30" t="str">
        <f t="shared" si="8"/>
        <v/>
      </c>
      <c r="V3" s="31">
        <v>1500</v>
      </c>
      <c r="W3" s="32" t="str">
        <f t="shared" ref="W3:W7" si="14">IFERROR((V3-U3)/U3,"")</f>
        <v/>
      </c>
      <c r="X3" s="33">
        <f t="shared" si="9"/>
        <v>0</v>
      </c>
      <c r="Y3" s="33" t="str">
        <f t="shared" si="10"/>
        <v/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15.75" x14ac:dyDescent="0.25">
      <c r="A4" s="23" t="s">
        <v>39</v>
      </c>
      <c r="B4" s="24" t="s">
        <v>22</v>
      </c>
      <c r="C4" s="25" t="s">
        <v>29</v>
      </c>
      <c r="D4" s="26">
        <v>1</v>
      </c>
      <c r="E4" s="26">
        <f>576*9-892</f>
        <v>4292</v>
      </c>
      <c r="F4" s="26">
        <f>576*9</f>
        <v>5184</v>
      </c>
      <c r="G4" s="26">
        <f>E4-F4</f>
        <v>-892</v>
      </c>
      <c r="H4" s="26">
        <v>12</v>
      </c>
      <c r="I4" s="26">
        <f t="shared" si="0"/>
        <v>357.66666666666669</v>
      </c>
      <c r="J4" s="27">
        <v>6.8</v>
      </c>
      <c r="K4" s="27">
        <f t="shared" si="11"/>
        <v>7.0151898734177216</v>
      </c>
      <c r="L4" s="27">
        <f t="shared" si="1"/>
        <v>30109.19493670886</v>
      </c>
      <c r="M4" s="28">
        <f t="shared" si="2"/>
        <v>4163.24</v>
      </c>
      <c r="N4" s="24">
        <v>79</v>
      </c>
      <c r="O4" s="29">
        <f t="shared" si="12"/>
        <v>577.75350000000003</v>
      </c>
      <c r="P4" s="29">
        <f t="shared" si="3"/>
        <v>2378626.4</v>
      </c>
      <c r="Q4" s="29">
        <f t="shared" si="4"/>
        <v>713587.92</v>
      </c>
      <c r="R4" s="29">
        <f t="shared" si="5"/>
        <v>343968.28074911423</v>
      </c>
      <c r="S4" s="29">
        <f t="shared" si="6"/>
        <v>7241.4374894550365</v>
      </c>
      <c r="T4" s="29">
        <f t="shared" si="13"/>
        <v>3443424.0382385692</v>
      </c>
      <c r="U4" s="30">
        <f t="shared" si="8"/>
        <v>802.28891850852028</v>
      </c>
      <c r="V4" s="31">
        <v>960</v>
      </c>
      <c r="W4" s="32">
        <f t="shared" si="14"/>
        <v>0.19657641761358172</v>
      </c>
      <c r="X4" s="33">
        <f t="shared" si="9"/>
        <v>4120320</v>
      </c>
      <c r="Y4" s="33">
        <f t="shared" si="10"/>
        <v>3443424.0382385692</v>
      </c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15.75" x14ac:dyDescent="0.25">
      <c r="A5" s="23" t="s">
        <v>37</v>
      </c>
      <c r="B5" s="24" t="s">
        <v>36</v>
      </c>
      <c r="C5" s="25" t="s">
        <v>38</v>
      </c>
      <c r="D5" s="26">
        <v>5</v>
      </c>
      <c r="E5" s="26">
        <v>0</v>
      </c>
      <c r="F5" s="26">
        <f>120*2</f>
        <v>240</v>
      </c>
      <c r="G5" s="26">
        <f>E5-F5</f>
        <v>-240</v>
      </c>
      <c r="H5" s="26">
        <v>3</v>
      </c>
      <c r="I5" s="26">
        <f t="shared" si="0"/>
        <v>0</v>
      </c>
      <c r="J5" s="27">
        <v>35.44</v>
      </c>
      <c r="K5" s="27">
        <f t="shared" si="11"/>
        <v>35.655189873417719</v>
      </c>
      <c r="L5" s="27">
        <f>K5*E5</f>
        <v>0</v>
      </c>
      <c r="M5" s="28">
        <f t="shared" si="2"/>
        <v>0</v>
      </c>
      <c r="N5" s="24">
        <v>79</v>
      </c>
      <c r="O5" s="29">
        <f t="shared" si="12"/>
        <v>2936.4722999999999</v>
      </c>
      <c r="P5" s="29">
        <f t="shared" si="3"/>
        <v>0</v>
      </c>
      <c r="Q5" s="29">
        <f t="shared" si="4"/>
        <v>0</v>
      </c>
      <c r="R5" s="29">
        <f t="shared" si="5"/>
        <v>0</v>
      </c>
      <c r="S5" s="29">
        <f>$S$13/$M$11*M5</f>
        <v>0</v>
      </c>
      <c r="T5" s="29">
        <f>P5+Q5+R5+S5</f>
        <v>0</v>
      </c>
      <c r="U5" s="30" t="str">
        <f>IFERROR(SUM(T5/E5),"")</f>
        <v/>
      </c>
      <c r="V5" s="31">
        <v>4550</v>
      </c>
      <c r="W5" s="32" t="str">
        <f t="shared" si="14"/>
        <v/>
      </c>
      <c r="X5" s="33">
        <f t="shared" si="9"/>
        <v>0</v>
      </c>
      <c r="Y5" s="33" t="str">
        <f t="shared" si="10"/>
        <v/>
      </c>
      <c r="Z5" s="21"/>
      <c r="AA5" s="21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</row>
    <row r="6" spans="1:1022" ht="15.75" x14ac:dyDescent="0.25">
      <c r="A6" s="23" t="s">
        <v>40</v>
      </c>
      <c r="B6" s="24" t="s">
        <v>41</v>
      </c>
      <c r="C6" s="25" t="s">
        <v>42</v>
      </c>
      <c r="D6" s="26">
        <v>1</v>
      </c>
      <c r="E6" s="26">
        <v>0</v>
      </c>
      <c r="F6" s="26"/>
      <c r="G6" s="26"/>
      <c r="H6" s="26">
        <v>12</v>
      </c>
      <c r="I6" s="26">
        <f t="shared" si="0"/>
        <v>0</v>
      </c>
      <c r="J6" s="27">
        <v>5.94</v>
      </c>
      <c r="K6" s="27">
        <f t="shared" ref="K6" si="15">J6+17/N6</f>
        <v>6.1551898734177222</v>
      </c>
      <c r="L6" s="27">
        <f t="shared" si="1"/>
        <v>0</v>
      </c>
      <c r="M6" s="28">
        <f t="shared" si="2"/>
        <v>0</v>
      </c>
      <c r="N6" s="24">
        <v>79</v>
      </c>
      <c r="O6" s="29">
        <f t="shared" ref="O6" si="16">K6*N6*1.0425</f>
        <v>506.92605000000003</v>
      </c>
      <c r="P6" s="29">
        <f t="shared" si="3"/>
        <v>0</v>
      </c>
      <c r="Q6" s="29">
        <f t="shared" si="4"/>
        <v>0</v>
      </c>
      <c r="R6" s="29">
        <f t="shared" si="5"/>
        <v>0</v>
      </c>
      <c r="S6" s="29">
        <f t="shared" si="6"/>
        <v>0</v>
      </c>
      <c r="T6" s="29">
        <f t="shared" ref="T6" si="17">P6+Q6+R6+S6</f>
        <v>0</v>
      </c>
      <c r="U6" s="30" t="str">
        <f t="shared" si="8"/>
        <v/>
      </c>
      <c r="V6" s="31">
        <v>800</v>
      </c>
      <c r="W6" s="32" t="str">
        <f t="shared" si="14"/>
        <v/>
      </c>
      <c r="X6" s="33">
        <f t="shared" si="9"/>
        <v>0</v>
      </c>
      <c r="Y6" s="33" t="str">
        <f t="shared" si="10"/>
        <v/>
      </c>
      <c r="Z6" s="21"/>
      <c r="AA6" s="21"/>
      <c r="AB6" s="21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</row>
    <row r="7" spans="1:1022" ht="15.75" x14ac:dyDescent="0.25">
      <c r="A7" s="23" t="s">
        <v>30</v>
      </c>
      <c r="B7" s="24" t="s">
        <v>43</v>
      </c>
      <c r="C7" s="25" t="s">
        <v>32</v>
      </c>
      <c r="D7" s="26">
        <v>4</v>
      </c>
      <c r="E7" s="26">
        <v>1142</v>
      </c>
      <c r="F7" s="26"/>
      <c r="G7" s="26"/>
      <c r="H7" s="26">
        <v>4</v>
      </c>
      <c r="I7" s="26">
        <f t="shared" si="0"/>
        <v>285.5</v>
      </c>
      <c r="J7" s="27">
        <v>24</v>
      </c>
      <c r="K7" s="27">
        <f t="shared" ref="K7" si="18">J7+17/N7</f>
        <v>24.215189873417721</v>
      </c>
      <c r="L7" s="27">
        <f t="shared" si="1"/>
        <v>27653.746835443038</v>
      </c>
      <c r="M7" s="28">
        <f t="shared" si="2"/>
        <v>4430.96</v>
      </c>
      <c r="N7" s="24">
        <v>79</v>
      </c>
      <c r="O7" s="29">
        <f t="shared" ref="O7" si="19">K7*N7*1.0425</f>
        <v>1994.3025</v>
      </c>
      <c r="P7" s="29">
        <f t="shared" si="3"/>
        <v>2184646</v>
      </c>
      <c r="Q7" s="29">
        <f t="shared" si="4"/>
        <v>655393.80000000005</v>
      </c>
      <c r="R7" s="29">
        <f t="shared" si="5"/>
        <v>366087.39665935549</v>
      </c>
      <c r="S7" s="29">
        <f t="shared" si="6"/>
        <v>7707.1030875653796</v>
      </c>
      <c r="T7" s="29">
        <f t="shared" ref="T7" si="20">P7+Q7+R7+S7</f>
        <v>3213834.2997469208</v>
      </c>
      <c r="U7" s="30">
        <f t="shared" si="8"/>
        <v>2814.2156740340811</v>
      </c>
      <c r="V7" s="31">
        <v>4350</v>
      </c>
      <c r="W7" s="32">
        <f t="shared" si="14"/>
        <v>0.5457237482315721</v>
      </c>
      <c r="X7" s="33">
        <f t="shared" si="9"/>
        <v>4967700</v>
      </c>
      <c r="Y7" s="33">
        <f t="shared" si="10"/>
        <v>3213834.2997469208</v>
      </c>
      <c r="Z7" s="21"/>
      <c r="AA7" s="21"/>
      <c r="AB7" s="21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</row>
    <row r="8" spans="1:1022" ht="15.75" x14ac:dyDescent="0.25">
      <c r="A8" s="47"/>
      <c r="B8" s="48"/>
      <c r="C8" s="49"/>
      <c r="D8" s="50"/>
      <c r="E8" s="50"/>
      <c r="F8" s="50"/>
      <c r="G8" s="50"/>
      <c r="H8" s="50"/>
      <c r="I8" s="50"/>
      <c r="J8" s="51"/>
      <c r="K8" s="51"/>
      <c r="L8" s="51"/>
      <c r="M8" s="58"/>
      <c r="N8" s="48"/>
      <c r="O8" s="52"/>
      <c r="P8" s="52"/>
      <c r="Q8" s="52"/>
      <c r="R8" s="52"/>
      <c r="S8" s="52"/>
      <c r="T8" s="52"/>
      <c r="U8" s="53"/>
      <c r="V8" s="58"/>
      <c r="W8" s="54"/>
      <c r="X8" s="55"/>
      <c r="Y8" s="55"/>
      <c r="Z8" s="21"/>
      <c r="AA8" s="21"/>
      <c r="AB8" s="21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  <c r="NG8" s="22"/>
      <c r="NH8" s="22"/>
      <c r="NI8" s="22"/>
      <c r="NJ8" s="22"/>
      <c r="NK8" s="22"/>
      <c r="NL8" s="22"/>
      <c r="NM8" s="22"/>
      <c r="NN8" s="22"/>
      <c r="NO8" s="22"/>
      <c r="NP8" s="22"/>
      <c r="NQ8" s="22"/>
      <c r="NR8" s="22"/>
      <c r="NS8" s="22"/>
      <c r="NT8" s="22"/>
      <c r="NU8" s="22"/>
      <c r="NV8" s="22"/>
      <c r="NW8" s="22"/>
      <c r="NX8" s="22"/>
      <c r="NY8" s="22"/>
      <c r="NZ8" s="22"/>
      <c r="OA8" s="22"/>
      <c r="OB8" s="22"/>
      <c r="OC8" s="22"/>
      <c r="OD8" s="22"/>
      <c r="OE8" s="22"/>
      <c r="OF8" s="22"/>
      <c r="OG8" s="22"/>
      <c r="OH8" s="22"/>
      <c r="OI8" s="22"/>
      <c r="OJ8" s="22"/>
      <c r="OK8" s="22"/>
      <c r="OL8" s="22"/>
      <c r="OM8" s="22"/>
      <c r="ON8" s="22"/>
      <c r="OO8" s="22"/>
      <c r="OP8" s="22"/>
      <c r="OQ8" s="22"/>
      <c r="OR8" s="22"/>
      <c r="OS8" s="22"/>
      <c r="OT8" s="22"/>
      <c r="OU8" s="22"/>
      <c r="OV8" s="22"/>
      <c r="OW8" s="22"/>
      <c r="OX8" s="22"/>
      <c r="OY8" s="22"/>
      <c r="OZ8" s="22"/>
      <c r="PA8" s="22"/>
      <c r="PB8" s="22"/>
      <c r="PC8" s="22"/>
      <c r="PD8" s="22"/>
      <c r="PE8" s="22"/>
      <c r="PF8" s="22"/>
      <c r="PG8" s="22"/>
      <c r="PH8" s="22"/>
      <c r="PI8" s="22"/>
      <c r="PJ8" s="22"/>
      <c r="PK8" s="22"/>
      <c r="PL8" s="22"/>
      <c r="PM8" s="22"/>
      <c r="PN8" s="22"/>
      <c r="PO8" s="22"/>
      <c r="PP8" s="22"/>
      <c r="PQ8" s="22"/>
      <c r="PR8" s="22"/>
      <c r="PS8" s="22"/>
      <c r="PT8" s="22"/>
      <c r="PU8" s="22"/>
      <c r="PV8" s="22"/>
      <c r="PW8" s="22"/>
      <c r="PX8" s="22"/>
      <c r="PY8" s="22"/>
      <c r="PZ8" s="22"/>
      <c r="QA8" s="22"/>
      <c r="QB8" s="22"/>
      <c r="QC8" s="22"/>
      <c r="QD8" s="22"/>
      <c r="QE8" s="22"/>
      <c r="QF8" s="22"/>
      <c r="QG8" s="22"/>
      <c r="QH8" s="22"/>
      <c r="QI8" s="22"/>
      <c r="QJ8" s="22"/>
      <c r="QK8" s="22"/>
      <c r="QL8" s="22"/>
      <c r="QM8" s="22"/>
      <c r="QN8" s="22"/>
      <c r="QO8" s="22"/>
      <c r="QP8" s="22"/>
      <c r="QQ8" s="22"/>
      <c r="QR8" s="22"/>
      <c r="QS8" s="22"/>
      <c r="QT8" s="22"/>
      <c r="QU8" s="22"/>
      <c r="QV8" s="22"/>
      <c r="QW8" s="22"/>
      <c r="QX8" s="22"/>
      <c r="QY8" s="22"/>
      <c r="QZ8" s="22"/>
      <c r="RA8" s="22"/>
      <c r="RB8" s="22"/>
      <c r="RC8" s="22"/>
      <c r="RD8" s="22"/>
      <c r="RE8" s="22"/>
      <c r="RF8" s="22"/>
      <c r="RG8" s="22"/>
      <c r="RH8" s="22"/>
      <c r="RI8" s="22"/>
      <c r="RJ8" s="22"/>
      <c r="RK8" s="22"/>
      <c r="RL8" s="22"/>
      <c r="RM8" s="22"/>
      <c r="RN8" s="22"/>
      <c r="RO8" s="22"/>
      <c r="RP8" s="22"/>
      <c r="RQ8" s="22"/>
      <c r="RR8" s="22"/>
      <c r="RS8" s="22"/>
      <c r="RT8" s="22"/>
      <c r="RU8" s="22"/>
      <c r="RV8" s="22"/>
      <c r="RW8" s="22"/>
      <c r="RX8" s="22"/>
      <c r="RY8" s="22"/>
      <c r="RZ8" s="22"/>
      <c r="SA8" s="22"/>
      <c r="SB8" s="22"/>
      <c r="SC8" s="22"/>
      <c r="SD8" s="22"/>
      <c r="SE8" s="22"/>
      <c r="SF8" s="22"/>
      <c r="SG8" s="22"/>
      <c r="SH8" s="22"/>
      <c r="SI8" s="22"/>
      <c r="SJ8" s="22"/>
      <c r="SK8" s="22"/>
      <c r="SL8" s="22"/>
      <c r="SM8" s="22"/>
      <c r="SN8" s="22"/>
      <c r="SO8" s="22"/>
      <c r="SP8" s="22"/>
      <c r="SQ8" s="22"/>
      <c r="SR8" s="22"/>
      <c r="SS8" s="22"/>
      <c r="ST8" s="22"/>
      <c r="SU8" s="22"/>
      <c r="SV8" s="22"/>
      <c r="SW8" s="22"/>
      <c r="SX8" s="22"/>
      <c r="SY8" s="22"/>
      <c r="SZ8" s="22"/>
      <c r="TA8" s="22"/>
      <c r="TB8" s="22"/>
      <c r="TC8" s="22"/>
      <c r="TD8" s="22"/>
      <c r="TE8" s="22"/>
      <c r="TF8" s="22"/>
      <c r="TG8" s="22"/>
      <c r="TH8" s="22"/>
      <c r="TI8" s="22"/>
      <c r="TJ8" s="22"/>
      <c r="TK8" s="22"/>
      <c r="TL8" s="22"/>
      <c r="TM8" s="22"/>
      <c r="TN8" s="22"/>
      <c r="TO8" s="22"/>
      <c r="TP8" s="22"/>
      <c r="TQ8" s="22"/>
      <c r="TR8" s="22"/>
      <c r="TS8" s="22"/>
      <c r="TT8" s="22"/>
      <c r="TU8" s="22"/>
      <c r="TV8" s="22"/>
      <c r="TW8" s="22"/>
      <c r="TX8" s="22"/>
      <c r="TY8" s="22"/>
      <c r="TZ8" s="22"/>
      <c r="UA8" s="22"/>
      <c r="UB8" s="22"/>
      <c r="UC8" s="22"/>
      <c r="UD8" s="22"/>
      <c r="UE8" s="22"/>
      <c r="UF8" s="22"/>
      <c r="UG8" s="22"/>
      <c r="UH8" s="22"/>
      <c r="UI8" s="22"/>
      <c r="UJ8" s="22"/>
      <c r="UK8" s="22"/>
      <c r="UL8" s="22"/>
      <c r="UM8" s="22"/>
      <c r="UN8" s="22"/>
      <c r="UO8" s="22"/>
      <c r="UP8" s="22"/>
      <c r="UQ8" s="22"/>
      <c r="UR8" s="22"/>
      <c r="US8" s="22"/>
      <c r="UT8" s="22"/>
      <c r="UU8" s="22"/>
      <c r="UV8" s="22"/>
      <c r="UW8" s="22"/>
      <c r="UX8" s="22"/>
      <c r="UY8" s="22"/>
      <c r="UZ8" s="22"/>
      <c r="VA8" s="22"/>
      <c r="VB8" s="22"/>
      <c r="VC8" s="22"/>
      <c r="VD8" s="22"/>
      <c r="VE8" s="22"/>
      <c r="VF8" s="22"/>
      <c r="VG8" s="22"/>
      <c r="VH8" s="22"/>
      <c r="VI8" s="22"/>
      <c r="VJ8" s="22"/>
      <c r="VK8" s="22"/>
      <c r="VL8" s="22"/>
      <c r="VM8" s="22"/>
      <c r="VN8" s="22"/>
      <c r="VO8" s="22"/>
      <c r="VP8" s="22"/>
      <c r="VQ8" s="22"/>
      <c r="VR8" s="22"/>
      <c r="VS8" s="22"/>
      <c r="VT8" s="22"/>
      <c r="VU8" s="22"/>
      <c r="VV8" s="22"/>
      <c r="VW8" s="22"/>
      <c r="VX8" s="22"/>
      <c r="VY8" s="22"/>
      <c r="VZ8" s="22"/>
      <c r="WA8" s="22"/>
      <c r="WB8" s="22"/>
      <c r="WC8" s="22"/>
      <c r="WD8" s="22"/>
      <c r="WE8" s="22"/>
      <c r="WF8" s="22"/>
      <c r="WG8" s="22"/>
      <c r="WH8" s="22"/>
      <c r="WI8" s="22"/>
      <c r="WJ8" s="22"/>
      <c r="WK8" s="22"/>
      <c r="WL8" s="22"/>
      <c r="WM8" s="22"/>
      <c r="WN8" s="22"/>
      <c r="WO8" s="22"/>
      <c r="WP8" s="22"/>
      <c r="WQ8" s="22"/>
      <c r="WR8" s="22"/>
      <c r="WS8" s="22"/>
      <c r="WT8" s="22"/>
      <c r="WU8" s="22"/>
      <c r="WV8" s="22"/>
      <c r="WW8" s="22"/>
      <c r="WX8" s="22"/>
      <c r="WY8" s="22"/>
      <c r="WZ8" s="22"/>
      <c r="XA8" s="22"/>
      <c r="XB8" s="22"/>
      <c r="XC8" s="22"/>
      <c r="XD8" s="22"/>
      <c r="XE8" s="22"/>
      <c r="XF8" s="22"/>
      <c r="XG8" s="22"/>
      <c r="XH8" s="22"/>
      <c r="XI8" s="22"/>
      <c r="XJ8" s="22"/>
      <c r="XK8" s="22"/>
      <c r="XL8" s="22"/>
      <c r="XM8" s="22"/>
      <c r="XN8" s="22"/>
      <c r="XO8" s="22"/>
      <c r="XP8" s="22"/>
      <c r="XQ8" s="22"/>
      <c r="XR8" s="22"/>
      <c r="XS8" s="22"/>
      <c r="XT8" s="22"/>
      <c r="XU8" s="22"/>
      <c r="XV8" s="22"/>
      <c r="XW8" s="22"/>
      <c r="XX8" s="22"/>
      <c r="XY8" s="22"/>
      <c r="XZ8" s="22"/>
      <c r="YA8" s="22"/>
      <c r="YB8" s="22"/>
      <c r="YC8" s="22"/>
      <c r="YD8" s="22"/>
      <c r="YE8" s="22"/>
      <c r="YF8" s="22"/>
      <c r="YG8" s="22"/>
      <c r="YH8" s="22"/>
      <c r="YI8" s="22"/>
      <c r="YJ8" s="22"/>
      <c r="YK8" s="22"/>
      <c r="YL8" s="22"/>
      <c r="YM8" s="22"/>
      <c r="YN8" s="22"/>
      <c r="YO8" s="22"/>
      <c r="YP8" s="22"/>
      <c r="YQ8" s="22"/>
      <c r="YR8" s="22"/>
      <c r="YS8" s="22"/>
      <c r="YT8" s="22"/>
      <c r="YU8" s="22"/>
      <c r="YV8" s="22"/>
      <c r="YW8" s="22"/>
      <c r="YX8" s="22"/>
      <c r="YY8" s="22"/>
      <c r="YZ8" s="22"/>
      <c r="ZA8" s="22"/>
      <c r="ZB8" s="22"/>
      <c r="ZC8" s="22"/>
      <c r="ZD8" s="22"/>
      <c r="ZE8" s="22"/>
      <c r="ZF8" s="22"/>
      <c r="ZG8" s="22"/>
      <c r="ZH8" s="22"/>
      <c r="ZI8" s="22"/>
      <c r="ZJ8" s="22"/>
      <c r="ZK8" s="22"/>
      <c r="ZL8" s="22"/>
      <c r="ZM8" s="22"/>
      <c r="ZN8" s="22"/>
      <c r="ZO8" s="22"/>
      <c r="ZP8" s="22"/>
      <c r="ZQ8" s="22"/>
      <c r="ZR8" s="22"/>
      <c r="ZS8" s="22"/>
      <c r="ZT8" s="22"/>
      <c r="ZU8" s="22"/>
      <c r="ZV8" s="22"/>
      <c r="ZW8" s="22"/>
      <c r="ZX8" s="22"/>
      <c r="ZY8" s="22"/>
      <c r="ZZ8" s="22"/>
      <c r="AAA8" s="22"/>
      <c r="AAB8" s="22"/>
      <c r="AAC8" s="22"/>
      <c r="AAD8" s="22"/>
      <c r="AAE8" s="22"/>
      <c r="AAF8" s="22"/>
      <c r="AAG8" s="22"/>
      <c r="AAH8" s="22"/>
      <c r="AAI8" s="22"/>
      <c r="AAJ8" s="22"/>
      <c r="AAK8" s="22"/>
      <c r="AAL8" s="22"/>
      <c r="AAM8" s="22"/>
      <c r="AAN8" s="22"/>
      <c r="AAO8" s="22"/>
      <c r="AAP8" s="22"/>
      <c r="AAQ8" s="22"/>
      <c r="AAR8" s="22"/>
      <c r="AAS8" s="22"/>
      <c r="AAT8" s="22"/>
      <c r="AAU8" s="22"/>
      <c r="AAV8" s="22"/>
      <c r="AAW8" s="22"/>
      <c r="AAX8" s="22"/>
      <c r="AAY8" s="22"/>
      <c r="AAZ8" s="22"/>
      <c r="ABA8" s="22"/>
      <c r="ABB8" s="22"/>
      <c r="ABC8" s="22"/>
      <c r="ABD8" s="22"/>
      <c r="ABE8" s="22"/>
      <c r="ABF8" s="22"/>
      <c r="ABG8" s="22"/>
      <c r="ABH8" s="22"/>
      <c r="ABI8" s="22"/>
      <c r="ABJ8" s="22"/>
      <c r="ABK8" s="22"/>
      <c r="ABL8" s="22"/>
      <c r="ABM8" s="22"/>
      <c r="ABN8" s="22"/>
      <c r="ABO8" s="22"/>
      <c r="ABP8" s="22"/>
      <c r="ABQ8" s="22"/>
      <c r="ABR8" s="22"/>
      <c r="ABS8" s="22"/>
      <c r="ABT8" s="22"/>
      <c r="ABU8" s="22"/>
      <c r="ABV8" s="22"/>
      <c r="ABW8" s="22"/>
      <c r="ABX8" s="22"/>
      <c r="ABY8" s="22"/>
      <c r="ABZ8" s="22"/>
      <c r="ACA8" s="22"/>
      <c r="ACB8" s="22"/>
      <c r="ACC8" s="22"/>
      <c r="ACD8" s="22"/>
      <c r="ACE8" s="22"/>
      <c r="ACF8" s="22"/>
      <c r="ACG8" s="22"/>
      <c r="ACH8" s="22"/>
      <c r="ACI8" s="22"/>
      <c r="ACJ8" s="22"/>
      <c r="ACK8" s="22"/>
      <c r="ACL8" s="22"/>
      <c r="ACM8" s="22"/>
      <c r="ACN8" s="22"/>
      <c r="ACO8" s="22"/>
      <c r="ACP8" s="22"/>
      <c r="ACQ8" s="22"/>
      <c r="ACR8" s="22"/>
      <c r="ACS8" s="22"/>
      <c r="ACT8" s="22"/>
      <c r="ACU8" s="22"/>
      <c r="ACV8" s="22"/>
      <c r="ACW8" s="22"/>
      <c r="ACX8" s="22"/>
      <c r="ACY8" s="22"/>
      <c r="ACZ8" s="22"/>
      <c r="ADA8" s="22"/>
      <c r="ADB8" s="22"/>
      <c r="ADC8" s="22"/>
      <c r="ADD8" s="22"/>
      <c r="ADE8" s="22"/>
      <c r="ADF8" s="22"/>
      <c r="ADG8" s="22"/>
      <c r="ADH8" s="22"/>
      <c r="ADI8" s="22"/>
      <c r="ADJ8" s="22"/>
      <c r="ADK8" s="22"/>
      <c r="ADL8" s="22"/>
      <c r="ADM8" s="22"/>
      <c r="ADN8" s="22"/>
      <c r="ADO8" s="22"/>
      <c r="ADP8" s="22"/>
      <c r="ADQ8" s="22"/>
      <c r="ADR8" s="22"/>
      <c r="ADS8" s="22"/>
      <c r="ADT8" s="22"/>
      <c r="ADU8" s="22"/>
      <c r="ADV8" s="22"/>
      <c r="ADW8" s="22"/>
      <c r="ADX8" s="22"/>
      <c r="ADY8" s="22"/>
      <c r="ADZ8" s="22"/>
      <c r="AEA8" s="22"/>
      <c r="AEB8" s="22"/>
      <c r="AEC8" s="22"/>
      <c r="AED8" s="22"/>
      <c r="AEE8" s="22"/>
      <c r="AEF8" s="22"/>
      <c r="AEG8" s="22"/>
      <c r="AEH8" s="22"/>
      <c r="AEI8" s="22"/>
      <c r="AEJ8" s="22"/>
      <c r="AEK8" s="22"/>
      <c r="AEL8" s="22"/>
      <c r="AEM8" s="22"/>
      <c r="AEN8" s="22"/>
      <c r="AEO8" s="22"/>
      <c r="AEP8" s="22"/>
      <c r="AEQ8" s="22"/>
      <c r="AER8" s="22"/>
      <c r="AES8" s="22"/>
      <c r="AET8" s="22"/>
      <c r="AEU8" s="22"/>
      <c r="AEV8" s="22"/>
      <c r="AEW8" s="22"/>
      <c r="AEX8" s="22"/>
      <c r="AEY8" s="22"/>
      <c r="AEZ8" s="22"/>
      <c r="AFA8" s="22"/>
      <c r="AFB8" s="22"/>
      <c r="AFC8" s="22"/>
      <c r="AFD8" s="22"/>
      <c r="AFE8" s="22"/>
      <c r="AFF8" s="22"/>
      <c r="AFG8" s="22"/>
      <c r="AFH8" s="22"/>
      <c r="AFI8" s="22"/>
      <c r="AFJ8" s="22"/>
      <c r="AFK8" s="22"/>
      <c r="AFL8" s="22"/>
      <c r="AFM8" s="22"/>
      <c r="AFN8" s="22"/>
      <c r="AFO8" s="22"/>
      <c r="AFP8" s="22"/>
      <c r="AFQ8" s="22"/>
      <c r="AFR8" s="22"/>
      <c r="AFS8" s="22"/>
      <c r="AFT8" s="22"/>
      <c r="AFU8" s="22"/>
      <c r="AFV8" s="22"/>
      <c r="AFW8" s="22"/>
      <c r="AFX8" s="22"/>
      <c r="AFY8" s="22"/>
      <c r="AFZ8" s="22"/>
      <c r="AGA8" s="22"/>
      <c r="AGB8" s="22"/>
      <c r="AGC8" s="22"/>
      <c r="AGD8" s="22"/>
      <c r="AGE8" s="22"/>
      <c r="AGF8" s="22"/>
      <c r="AGG8" s="22"/>
      <c r="AGH8" s="22"/>
      <c r="AGI8" s="22"/>
      <c r="AGJ8" s="22"/>
      <c r="AGK8" s="22"/>
      <c r="AGL8" s="22"/>
      <c r="AGM8" s="22"/>
      <c r="AGN8" s="22"/>
      <c r="AGO8" s="22"/>
      <c r="AGP8" s="22"/>
      <c r="AGQ8" s="22"/>
      <c r="AGR8" s="22"/>
      <c r="AGS8" s="22"/>
      <c r="AGT8" s="22"/>
      <c r="AGU8" s="22"/>
      <c r="AGV8" s="22"/>
      <c r="AGW8" s="22"/>
      <c r="AGX8" s="22"/>
      <c r="AGY8" s="22"/>
      <c r="AGZ8" s="22"/>
      <c r="AHA8" s="22"/>
      <c r="AHB8" s="22"/>
      <c r="AHC8" s="22"/>
      <c r="AHD8" s="22"/>
      <c r="AHE8" s="22"/>
      <c r="AHF8" s="22"/>
      <c r="AHG8" s="22"/>
      <c r="AHH8" s="22"/>
      <c r="AHI8" s="22"/>
      <c r="AHJ8" s="22"/>
      <c r="AHK8" s="22"/>
      <c r="AHL8" s="22"/>
      <c r="AHM8" s="22"/>
      <c r="AHN8" s="22"/>
      <c r="AHO8" s="22"/>
      <c r="AHP8" s="22"/>
      <c r="AHQ8" s="22"/>
      <c r="AHR8" s="22"/>
      <c r="AHS8" s="22"/>
      <c r="AHT8" s="22"/>
      <c r="AHU8" s="22"/>
      <c r="AHV8" s="22"/>
      <c r="AHW8" s="22"/>
      <c r="AHX8" s="22"/>
      <c r="AHY8" s="22"/>
      <c r="AHZ8" s="22"/>
      <c r="AIA8" s="22"/>
      <c r="AIB8" s="22"/>
      <c r="AIC8" s="22"/>
      <c r="AID8" s="22"/>
      <c r="AIE8" s="22"/>
      <c r="AIF8" s="22"/>
      <c r="AIG8" s="22"/>
      <c r="AIH8" s="22"/>
      <c r="AII8" s="22"/>
      <c r="AIJ8" s="22"/>
      <c r="AIK8" s="22"/>
      <c r="AIL8" s="22"/>
      <c r="AIM8" s="22"/>
      <c r="AIN8" s="22"/>
      <c r="AIO8" s="22"/>
      <c r="AIP8" s="22"/>
      <c r="AIQ8" s="22"/>
      <c r="AIR8" s="22"/>
      <c r="AIS8" s="22"/>
      <c r="AIT8" s="22"/>
      <c r="AIU8" s="22"/>
      <c r="AIV8" s="22"/>
      <c r="AIW8" s="22"/>
      <c r="AIX8" s="22"/>
      <c r="AIY8" s="22"/>
      <c r="AIZ8" s="22"/>
      <c r="AJA8" s="22"/>
      <c r="AJB8" s="22"/>
      <c r="AJC8" s="22"/>
      <c r="AJD8" s="22"/>
      <c r="AJE8" s="22"/>
      <c r="AJF8" s="22"/>
      <c r="AJG8" s="22"/>
      <c r="AJH8" s="22"/>
      <c r="AJI8" s="22"/>
      <c r="AJJ8" s="22"/>
      <c r="AJK8" s="22"/>
      <c r="AJL8" s="22"/>
      <c r="AJM8" s="22"/>
      <c r="AJN8" s="22"/>
      <c r="AJO8" s="22"/>
      <c r="AJP8" s="22"/>
      <c r="AJQ8" s="22"/>
      <c r="AJR8" s="22"/>
      <c r="AJS8" s="22"/>
      <c r="AJT8" s="22"/>
      <c r="AJU8" s="22"/>
      <c r="AJV8" s="22"/>
      <c r="AJW8" s="22"/>
      <c r="AJX8" s="22"/>
      <c r="AJY8" s="22"/>
      <c r="AJZ8" s="22"/>
      <c r="AKA8" s="22"/>
      <c r="AKB8" s="22"/>
      <c r="AKC8" s="22"/>
      <c r="AKD8" s="22"/>
      <c r="AKE8" s="22"/>
      <c r="AKF8" s="22"/>
      <c r="AKG8" s="22"/>
      <c r="AKH8" s="22"/>
      <c r="AKI8" s="22"/>
      <c r="AKJ8" s="22"/>
      <c r="AKK8" s="22"/>
      <c r="AKL8" s="22"/>
      <c r="AKM8" s="22"/>
      <c r="AKN8" s="22"/>
      <c r="AKO8" s="22"/>
      <c r="AKP8" s="22"/>
      <c r="AKQ8" s="22"/>
      <c r="AKR8" s="22"/>
      <c r="AKS8" s="22"/>
      <c r="AKT8" s="22"/>
      <c r="AKU8" s="22"/>
      <c r="AKV8" s="22"/>
      <c r="AKW8" s="22"/>
      <c r="AKX8" s="22"/>
      <c r="AKY8" s="22"/>
      <c r="AKZ8" s="22"/>
      <c r="ALA8" s="22"/>
      <c r="ALB8" s="22"/>
      <c r="ALC8" s="22"/>
      <c r="ALD8" s="22"/>
      <c r="ALE8" s="22"/>
      <c r="ALF8" s="22"/>
      <c r="ALG8" s="22"/>
      <c r="ALH8" s="22"/>
      <c r="ALI8" s="22"/>
      <c r="ALJ8" s="22"/>
      <c r="ALK8" s="22"/>
      <c r="ALL8" s="22"/>
      <c r="ALM8" s="22"/>
      <c r="ALN8" s="22"/>
      <c r="ALO8" s="22"/>
      <c r="ALP8" s="22"/>
      <c r="ALQ8" s="22"/>
      <c r="ALR8" s="22"/>
      <c r="ALS8" s="22"/>
      <c r="ALT8" s="22"/>
      <c r="ALU8" s="22"/>
      <c r="ALV8" s="22"/>
      <c r="ALW8" s="22"/>
      <c r="ALX8" s="22"/>
      <c r="ALY8" s="22"/>
      <c r="ALZ8" s="22"/>
      <c r="AMA8" s="22"/>
      <c r="AMB8" s="22"/>
      <c r="AMC8" s="22"/>
      <c r="AMD8" s="22"/>
      <c r="AME8" s="22"/>
      <c r="AMF8" s="22"/>
      <c r="AMG8" s="22"/>
      <c r="AMH8" s="22"/>
    </row>
    <row r="9" spans="1:1022" ht="15.75" x14ac:dyDescent="0.25">
      <c r="A9" s="47"/>
      <c r="B9" s="48"/>
      <c r="C9" s="49"/>
      <c r="D9" s="50"/>
      <c r="E9" s="50"/>
      <c r="F9" s="50"/>
      <c r="G9" s="50"/>
      <c r="H9" s="50"/>
      <c r="I9" s="50"/>
      <c r="J9" s="50"/>
      <c r="K9" s="51"/>
      <c r="L9" s="51"/>
      <c r="M9" s="58"/>
      <c r="N9" s="48"/>
      <c r="O9" s="52"/>
      <c r="P9" s="52"/>
      <c r="Q9" s="52"/>
      <c r="R9" s="52"/>
      <c r="S9" s="34"/>
      <c r="T9" s="52"/>
      <c r="U9" s="53"/>
      <c r="V9" s="58"/>
      <c r="W9" s="54"/>
      <c r="X9" s="55">
        <f>SUM(X2:X7)</f>
        <v>22729620</v>
      </c>
      <c r="Y9" s="55">
        <f>SUM(Y2:Y7)</f>
        <v>16722404.520000001</v>
      </c>
      <c r="Z9" s="21"/>
      <c r="AA9" s="21"/>
      <c r="AB9" s="21"/>
    </row>
    <row r="10" spans="1:1022" ht="15.75" x14ac:dyDescent="0.25">
      <c r="A10" s="47"/>
      <c r="B10" s="48"/>
      <c r="C10" s="49"/>
      <c r="D10" s="50"/>
      <c r="E10" s="50"/>
      <c r="F10" s="50"/>
      <c r="G10" s="50"/>
      <c r="H10" s="50"/>
      <c r="I10" s="50"/>
      <c r="J10" s="50"/>
      <c r="K10" s="51"/>
      <c r="L10" s="51"/>
      <c r="M10" s="58"/>
      <c r="N10" s="48"/>
      <c r="O10" s="52"/>
      <c r="P10" s="52"/>
      <c r="Q10" s="52"/>
      <c r="R10" s="52"/>
      <c r="S10" s="34"/>
      <c r="T10" s="52"/>
      <c r="U10" s="53"/>
      <c r="V10" s="58"/>
      <c r="W10" s="54"/>
      <c r="X10" s="55"/>
      <c r="Y10" s="55"/>
      <c r="Z10" s="21"/>
      <c r="AA10" s="21"/>
      <c r="AB10" s="21"/>
    </row>
    <row r="11" spans="1:1022" ht="15.75" x14ac:dyDescent="0.25">
      <c r="A11" s="35"/>
      <c r="B11" s="36"/>
      <c r="C11" s="36"/>
      <c r="D11" s="37"/>
      <c r="E11" s="38">
        <f>SUM(E2:E7)</f>
        <v>9146</v>
      </c>
      <c r="F11" s="38"/>
      <c r="G11" s="38"/>
      <c r="H11" s="39"/>
      <c r="I11" s="38">
        <f>SUM(I2:I7)</f>
        <v>1261.8333333333333</v>
      </c>
      <c r="J11" s="38"/>
      <c r="K11" s="39"/>
      <c r="L11" s="59">
        <f>SUMIF(L2:L7,"&lt;&gt;#ДЕЛ/0!")</f>
        <v>143937.7265822785</v>
      </c>
      <c r="M11" s="60">
        <f>SUM(M2:M7)</f>
        <v>22996.76</v>
      </c>
      <c r="O11" s="7"/>
      <c r="P11" s="40">
        <f>SUMIF(P2:P7,"&lt;&gt;#ДЕЛ/0!")</f>
        <v>11371080.4</v>
      </c>
      <c r="Q11" s="40">
        <f>SUMIF(Q2:Q7,"&lt;&gt;#ДЕЛ/0!")</f>
        <v>3411324.12</v>
      </c>
      <c r="R11" s="40">
        <f>SUMIF(R2:R7,"&lt;&gt;#ДЕЛ/0!")</f>
        <v>1900000</v>
      </c>
      <c r="S11" s="40">
        <f>SUMIF(S2:S7,"&lt;&gt;#ДЕЛ/0!")</f>
        <v>40000.000000000007</v>
      </c>
      <c r="T11" s="40">
        <f>SUMIF(T2:T7,"&lt;&gt;#ДЕЛ/0!")</f>
        <v>16722404.520000001</v>
      </c>
      <c r="U11" s="41"/>
      <c r="V11" s="21"/>
      <c r="Y11" s="21"/>
      <c r="Z11" s="21"/>
      <c r="AA11" s="21"/>
      <c r="AB11" s="21"/>
      <c r="AMG11" s="5"/>
      <c r="AMH11" s="5"/>
    </row>
    <row r="12" spans="1:1022" ht="30" x14ac:dyDescent="0.25">
      <c r="L12" s="56" t="s">
        <v>23</v>
      </c>
      <c r="M12" s="57">
        <f>(M11/700)*20+M11</f>
        <v>23653.810285714284</v>
      </c>
      <c r="O12" s="7"/>
      <c r="P12" s="42" t="s">
        <v>24</v>
      </c>
      <c r="Q12" s="42" t="s">
        <v>24</v>
      </c>
      <c r="R12" s="42" t="s">
        <v>24</v>
      </c>
      <c r="S12" s="42" t="s">
        <v>24</v>
      </c>
      <c r="T12" s="43"/>
      <c r="X12" s="61" t="s">
        <v>25</v>
      </c>
      <c r="Y12" s="62">
        <f>(X9-Y9)/Y9</f>
        <v>0.35923156103629517</v>
      </c>
    </row>
    <row r="13" spans="1:1022" ht="15.75" x14ac:dyDescent="0.25">
      <c r="L13" s="6"/>
      <c r="M13" s="6"/>
      <c r="P13" s="44">
        <f>L11*N2</f>
        <v>11371080.400000002</v>
      </c>
      <c r="Q13" s="44">
        <f>P13*0.3</f>
        <v>3411324.1200000006</v>
      </c>
      <c r="R13" s="45">
        <f>950000*2</f>
        <v>1900000</v>
      </c>
      <c r="S13" s="45">
        <v>40000</v>
      </c>
      <c r="T13" s="44">
        <f>P13+Q13+R13+S13</f>
        <v>16722404.520000003</v>
      </c>
    </row>
    <row r="14" spans="1:1022" x14ac:dyDescent="0.2">
      <c r="L14" s="6"/>
      <c r="M14" s="6"/>
      <c r="N14" s="5"/>
      <c r="Q14" s="5"/>
      <c r="R14" s="5"/>
      <c r="S14" s="5"/>
      <c r="T14" s="5"/>
    </row>
    <row r="15" spans="1:1022" x14ac:dyDescent="0.2">
      <c r="L15" s="6">
        <v>8557.2455696202524</v>
      </c>
      <c r="M15" s="6"/>
      <c r="N15" s="5"/>
      <c r="Q15" s="5"/>
      <c r="R15" s="5"/>
      <c r="S15" s="5"/>
      <c r="T15" s="5"/>
    </row>
    <row r="16" spans="1:1022" x14ac:dyDescent="0.2">
      <c r="L16" s="6">
        <v>1768</v>
      </c>
      <c r="M16" s="6"/>
      <c r="N16" s="5"/>
      <c r="Q16" s="5"/>
      <c r="R16" s="5"/>
      <c r="S16" s="5"/>
      <c r="T16" s="5"/>
    </row>
    <row r="17" spans="5:20" x14ac:dyDescent="0.2">
      <c r="E17" s="4">
        <f>E2+E7</f>
        <v>4854</v>
      </c>
      <c r="L17" s="6"/>
      <c r="M17" s="6"/>
      <c r="N17" s="5"/>
      <c r="Q17" s="46"/>
      <c r="R17" s="5"/>
      <c r="S17" s="5"/>
      <c r="T17" s="5"/>
    </row>
    <row r="18" spans="5:20" x14ac:dyDescent="0.2">
      <c r="L18" s="6"/>
      <c r="M18" s="6"/>
      <c r="N18" s="5"/>
      <c r="Q18" s="5"/>
      <c r="R18" s="5"/>
      <c r="S18" s="5"/>
      <c r="T18" s="5"/>
    </row>
    <row r="19" spans="5:20" x14ac:dyDescent="0.2">
      <c r="L19" s="7">
        <f>+SUM(L15:L16)</f>
        <v>10325.245569620252</v>
      </c>
      <c r="N19" s="5"/>
      <c r="Q19" s="5"/>
      <c r="R19" s="5"/>
      <c r="S19" s="5"/>
      <c r="T19" s="5"/>
    </row>
    <row r="20" spans="5:20" x14ac:dyDescent="0.2">
      <c r="N20" s="5"/>
      <c r="Q20" s="5"/>
      <c r="R20" s="5"/>
      <c r="S20" s="5"/>
      <c r="T20" s="5"/>
    </row>
    <row r="21" spans="5:20" x14ac:dyDescent="0.2">
      <c r="L21" s="7">
        <v>10325.245569620252</v>
      </c>
      <c r="N21" s="5"/>
      <c r="Q21" s="5"/>
      <c r="R21" s="5"/>
      <c r="S21" s="5"/>
      <c r="T21" s="5"/>
    </row>
    <row r="22" spans="5:20" x14ac:dyDescent="0.2">
      <c r="N22" s="5"/>
      <c r="Q22" s="5"/>
      <c r="R22" s="5"/>
      <c r="S22" s="5"/>
      <c r="T22" s="5"/>
    </row>
    <row r="23" spans="5:20" x14ac:dyDescent="0.2">
      <c r="N23" s="5"/>
      <c r="Q23" s="5"/>
      <c r="R23" s="5"/>
      <c r="S23" s="5"/>
      <c r="T23" s="5"/>
    </row>
    <row r="24" spans="5:20" x14ac:dyDescent="0.2">
      <c r="N24" s="5"/>
      <c r="Q24" s="5"/>
      <c r="R24" s="5"/>
      <c r="S24" s="5"/>
      <c r="T24" s="5"/>
    </row>
    <row r="25" spans="5:20" x14ac:dyDescent="0.2">
      <c r="L25" s="7">
        <f>L11*3.67</f>
        <v>528251.4565569621</v>
      </c>
      <c r="N25" s="5"/>
      <c r="Q25" s="5"/>
      <c r="R25" s="5"/>
      <c r="S25" s="5"/>
      <c r="T25" s="5"/>
    </row>
    <row r="26" spans="5:20" x14ac:dyDescent="0.2">
      <c r="N26" s="5"/>
      <c r="Q26" s="5"/>
      <c r="R26" s="5"/>
      <c r="S26" s="5"/>
      <c r="T26" s="5"/>
    </row>
    <row r="27" spans="5:20" x14ac:dyDescent="0.2">
      <c r="N27" s="5"/>
      <c r="Q27" s="5"/>
      <c r="R27" s="5"/>
      <c r="S27" s="5"/>
      <c r="T27" s="5"/>
    </row>
    <row r="28" spans="5:20" x14ac:dyDescent="0.2">
      <c r="N28" s="5"/>
      <c r="Q28" s="5"/>
      <c r="R28" s="5"/>
      <c r="S28" s="5"/>
      <c r="T28" s="5"/>
    </row>
    <row r="29" spans="5:20" x14ac:dyDescent="0.2">
      <c r="N29" s="5"/>
      <c r="Q29" s="5"/>
      <c r="R29" s="5"/>
      <c r="S29" s="5"/>
      <c r="T29" s="5"/>
    </row>
    <row r="30" spans="5:20" x14ac:dyDescent="0.2">
      <c r="N30" s="5"/>
      <c r="Q30" s="5"/>
      <c r="R30" s="5"/>
      <c r="S30" s="5"/>
      <c r="T30" s="5"/>
    </row>
    <row r="31" spans="5:20" x14ac:dyDescent="0.2">
      <c r="N31" s="5"/>
      <c r="Q31" s="5"/>
      <c r="R31" s="5"/>
      <c r="S31" s="5"/>
      <c r="T31" s="5"/>
    </row>
    <row r="32" spans="5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</sheetData>
  <conditionalFormatting sqref="W13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2026-06-29T10:13:55Z</dcterms:modified>
  <dc:language>ru-RU</dc:language>
</cp:coreProperties>
</file>