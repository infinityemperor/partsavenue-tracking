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inov\OneDrive\Desktop\РАБОЧАЯ\001 ИМПОРТ\001 containers\2026\001 UAE\UAE#10\"/>
    </mc:Choice>
  </mc:AlternateContent>
  <xr:revisionPtr revIDLastSave="0" documentId="13_ncr:1_{362EB6C7-1FF0-48E7-8151-8DD0DE541944}" xr6:coauthVersionLast="47" xr6:coauthVersionMax="47" xr10:uidLastSave="{00000000-0000-0000-0000-000000000000}"/>
  <bookViews>
    <workbookView xWindow="1005" yWindow="2460" windowWidth="35295" windowHeight="18060" xr2:uid="{00000000-000D-0000-FFFF-FFFF00000000}"/>
  </bookViews>
  <sheets>
    <sheet name="ФПЗ_Э10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2" i="2"/>
  <c r="H13" i="2"/>
  <c r="F13" i="2"/>
  <c r="H12" i="2"/>
  <c r="F12" i="2"/>
  <c r="H11" i="2"/>
  <c r="F11" i="2"/>
  <c r="H10" i="2"/>
  <c r="F10" i="2"/>
  <c r="H9" i="2"/>
  <c r="F9" i="2"/>
  <c r="H8" i="2"/>
  <c r="F8" i="2"/>
  <c r="E7" i="2"/>
  <c r="F7" i="2" s="1"/>
  <c r="H6" i="2"/>
  <c r="F6" i="2"/>
  <c r="H5" i="2"/>
  <c r="F5" i="2"/>
  <c r="E4" i="2"/>
  <c r="F4" i="2" s="1"/>
  <c r="E3" i="2"/>
  <c r="F3" i="2" s="1"/>
  <c r="H2" i="2"/>
  <c r="F2" i="2"/>
  <c r="H7" i="2" l="1"/>
  <c r="H4" i="2"/>
  <c r="H3" i="2"/>
  <c r="AA13" i="1" l="1"/>
  <c r="Z13" i="1"/>
  <c r="Y13" i="1"/>
  <c r="W13" i="1"/>
  <c r="Y12" i="1"/>
  <c r="AA12" i="1"/>
  <c r="AA14" i="1"/>
  <c r="Y11" i="1"/>
  <c r="AA11" i="1"/>
  <c r="Z12" i="1"/>
  <c r="Z11" i="1"/>
  <c r="P13" i="1"/>
  <c r="M13" i="1"/>
  <c r="J13" i="1"/>
  <c r="E17" i="1"/>
  <c r="F13" i="1"/>
  <c r="N13" i="1"/>
  <c r="P12" i="1"/>
  <c r="M12" i="1"/>
  <c r="J12" i="1"/>
  <c r="F12" i="1"/>
  <c r="N12" i="1"/>
  <c r="N5" i="1"/>
  <c r="N8" i="1"/>
  <c r="N9" i="1"/>
  <c r="N10" i="1"/>
  <c r="N11" i="1"/>
  <c r="N2" i="1"/>
  <c r="P11" i="1"/>
  <c r="L11" i="1"/>
  <c r="M11" i="1"/>
  <c r="J11" i="1"/>
  <c r="F11" i="1"/>
  <c r="P7" i="1"/>
  <c r="E7" i="1"/>
  <c r="N7" i="1" s="1"/>
  <c r="P2" i="1"/>
  <c r="P3" i="1"/>
  <c r="E3" i="1"/>
  <c r="N3" i="1" s="1"/>
  <c r="E4" i="1"/>
  <c r="N4" i="1" s="1"/>
  <c r="P10" i="1"/>
  <c r="AA10" i="1"/>
  <c r="L10" i="1"/>
  <c r="M10" i="1"/>
  <c r="J10" i="1"/>
  <c r="F10" i="1"/>
  <c r="AA9" i="1" l="1"/>
  <c r="P9" i="1"/>
  <c r="L9" i="1"/>
  <c r="J9" i="1"/>
  <c r="M9" i="1"/>
  <c r="M3" i="1"/>
  <c r="F9" i="1"/>
  <c r="AA8" i="1"/>
  <c r="P8" i="1"/>
  <c r="M8" i="1"/>
  <c r="L8" i="1"/>
  <c r="J8" i="1"/>
  <c r="F8" i="1"/>
  <c r="P4" i="1"/>
  <c r="P5" i="1"/>
  <c r="P6" i="1"/>
  <c r="F7" i="1"/>
  <c r="F3" i="1"/>
  <c r="F4" i="1"/>
  <c r="F5" i="1"/>
  <c r="F2" i="1"/>
  <c r="M4" i="1"/>
  <c r="M5" i="1"/>
  <c r="M2" i="1"/>
  <c r="J5" i="1"/>
  <c r="T19" i="1"/>
  <c r="M6" i="1" l="1"/>
  <c r="N6" i="1"/>
  <c r="F6" i="1"/>
  <c r="M7" i="1"/>
  <c r="M17" i="1" s="1"/>
  <c r="AA6" i="1"/>
  <c r="AA3" i="1"/>
  <c r="AA4" i="1"/>
  <c r="AA5" i="1"/>
  <c r="AA7" i="1"/>
  <c r="R12" i="1" l="1"/>
  <c r="R13" i="1"/>
  <c r="N17" i="1"/>
  <c r="S12" i="1" s="1"/>
  <c r="Q19" i="1"/>
  <c r="R11" i="1"/>
  <c r="R8" i="1"/>
  <c r="R9" i="1"/>
  <c r="R10" i="1"/>
  <c r="L5" i="1"/>
  <c r="L3" i="1"/>
  <c r="J3" i="1"/>
  <c r="AA2" i="1"/>
  <c r="L4" i="1"/>
  <c r="L6" i="1"/>
  <c r="L7" i="1"/>
  <c r="L2" i="1"/>
  <c r="J4" i="1"/>
  <c r="N18" i="1" l="1"/>
  <c r="S11" i="1"/>
  <c r="Q12" i="1"/>
  <c r="Q13" i="1"/>
  <c r="T12" i="1"/>
  <c r="T13" i="1"/>
  <c r="S13" i="1"/>
  <c r="T11" i="1"/>
  <c r="Q10" i="1"/>
  <c r="Q11" i="1"/>
  <c r="Q9" i="1"/>
  <c r="U19" i="1"/>
  <c r="Q8" i="1"/>
  <c r="J6" i="1"/>
  <c r="J17" i="1" s="1"/>
  <c r="J7" i="1"/>
  <c r="J2" i="1"/>
  <c r="U13" i="1" l="1"/>
  <c r="V13" i="1" s="1"/>
  <c r="AB13" i="1" s="1"/>
  <c r="U11" i="1"/>
  <c r="V11" i="1" s="1"/>
  <c r="AB11" i="1" s="1"/>
  <c r="U12" i="1"/>
  <c r="V12" i="1" s="1"/>
  <c r="AB12" i="1" s="1"/>
  <c r="M30" i="1"/>
  <c r="S10" i="1" l="1"/>
  <c r="S9" i="1"/>
  <c r="T10" i="1"/>
  <c r="T9" i="1"/>
  <c r="T8" i="1"/>
  <c r="S8" i="1"/>
  <c r="U8" i="1" s="1"/>
  <c r="V8" i="1" s="1"/>
  <c r="Q3" i="1"/>
  <c r="Q5" i="1"/>
  <c r="T5" i="1"/>
  <c r="S5" i="1"/>
  <c r="S4" i="1"/>
  <c r="T3" i="1"/>
  <c r="S3" i="1"/>
  <c r="Q2" i="1"/>
  <c r="S2" i="1"/>
  <c r="S17" i="1" s="1"/>
  <c r="T7" i="1"/>
  <c r="Q7" i="1"/>
  <c r="S6" i="1"/>
  <c r="T4" i="1"/>
  <c r="T6" i="1"/>
  <c r="S7" i="1"/>
  <c r="T2" i="1"/>
  <c r="Q4" i="1"/>
  <c r="Q6" i="1"/>
  <c r="U10" i="1" l="1"/>
  <c r="V10" i="1" s="1"/>
  <c r="Y10" i="1" s="1"/>
  <c r="U9" i="1"/>
  <c r="V9" i="1" s="1"/>
  <c r="Q17" i="1"/>
  <c r="T17" i="1"/>
  <c r="AB8" i="1"/>
  <c r="Y8" i="1"/>
  <c r="R5" i="1"/>
  <c r="U5" i="1" s="1"/>
  <c r="V5" i="1" s="1"/>
  <c r="R3" i="1"/>
  <c r="U3" i="1" s="1"/>
  <c r="V3" i="1" s="1"/>
  <c r="R6" i="1"/>
  <c r="U6" i="1" s="1"/>
  <c r="V6" i="1" s="1"/>
  <c r="AB6" i="1" s="1"/>
  <c r="R4" i="1"/>
  <c r="U4" i="1" s="1"/>
  <c r="V4" i="1" s="1"/>
  <c r="R7" i="1"/>
  <c r="U7" i="1" s="1"/>
  <c r="V7" i="1" s="1"/>
  <c r="R2" i="1"/>
  <c r="W11" i="1" l="1"/>
  <c r="AC11" i="1" s="1"/>
  <c r="W12" i="1"/>
  <c r="AB10" i="1"/>
  <c r="Y9" i="1"/>
  <c r="AB9" i="1"/>
  <c r="U2" i="1"/>
  <c r="R17" i="1"/>
  <c r="W8" i="1"/>
  <c r="W10" i="1"/>
  <c r="W9" i="1"/>
  <c r="AC8" i="1"/>
  <c r="Z8" i="1"/>
  <c r="W2" i="1"/>
  <c r="W4" i="1"/>
  <c r="W7" i="1"/>
  <c r="W6" i="1"/>
  <c r="W5" i="1"/>
  <c r="W3" i="1"/>
  <c r="Y5" i="1"/>
  <c r="AB5" i="1"/>
  <c r="Y7" i="1"/>
  <c r="AB7" i="1"/>
  <c r="Y4" i="1"/>
  <c r="AB4" i="1"/>
  <c r="Y3" i="1"/>
  <c r="AB3" i="1"/>
  <c r="Y6" i="1"/>
  <c r="V2" i="1" l="1"/>
  <c r="U17" i="1"/>
  <c r="AC9" i="1"/>
  <c r="Z9" i="1"/>
  <c r="Z10" i="1"/>
  <c r="AC10" i="1"/>
  <c r="AC5" i="1"/>
  <c r="Z5" i="1"/>
  <c r="AC3" i="1"/>
  <c r="Z3" i="1"/>
  <c r="AC6" i="1"/>
  <c r="Z6" i="1"/>
  <c r="AC7" i="1"/>
  <c r="Z7" i="1"/>
  <c r="AC4" i="1"/>
  <c r="Z4" i="1"/>
  <c r="AC2" i="1"/>
  <c r="Z2" i="1"/>
  <c r="AC14" i="1" l="1"/>
  <c r="Y2" i="1"/>
  <c r="AB2" i="1"/>
  <c r="AB14" i="1" s="1"/>
  <c r="AB18" i="1" l="1"/>
</calcChain>
</file>

<file path=xl/sharedStrings.xml><?xml version="1.0" encoding="utf-8"?>
<sst xmlns="http://schemas.openxmlformats.org/spreadsheetml/2006/main" count="116" uniqueCount="57">
  <si>
    <t>Производитель</t>
  </si>
  <si>
    <t>Наименование</t>
  </si>
  <si>
    <t>Литраж</t>
  </si>
  <si>
    <t>Заказ</t>
  </si>
  <si>
    <t>Кол-во в кор</t>
  </si>
  <si>
    <t>Итого кор</t>
  </si>
  <si>
    <t>Цена за ШТ (Закупка в валюте поставщика)</t>
  </si>
  <si>
    <t>Итого за позицию</t>
  </si>
  <si>
    <t>Вес брутто ИТОГО</t>
  </si>
  <si>
    <t>Курс валюты</t>
  </si>
  <si>
    <t>Цена в рублях по Инвойсу Поставщика</t>
  </si>
  <si>
    <t xml:space="preserve">Сумма  за товар в руюлях </t>
  </si>
  <si>
    <t xml:space="preserve">Таможня </t>
  </si>
  <si>
    <t>Доставка</t>
  </si>
  <si>
    <t>Услуги брокеров</t>
  </si>
  <si>
    <t>Общая сумма закупа + ТО и доставка</t>
  </si>
  <si>
    <t>себестоимость за шт</t>
  </si>
  <si>
    <t>Дистриб</t>
  </si>
  <si>
    <t>рентабельность</t>
  </si>
  <si>
    <t>Сумма реализации</t>
  </si>
  <si>
    <t>Стоимость ящика закуп</t>
  </si>
  <si>
    <t>BMW</t>
  </si>
  <si>
    <t>83212465843</t>
  </si>
  <si>
    <t>Общий вес с паллетами</t>
  </si>
  <si>
    <t>введите</t>
  </si>
  <si>
    <t xml:space="preserve">Ожидаемый % рент. </t>
  </si>
  <si>
    <t>Mitsubishi</t>
  </si>
  <si>
    <t>MZ321232</t>
  </si>
  <si>
    <t>Цена за ШТ (Закупка в валюте поставщика) + КМ</t>
  </si>
  <si>
    <t>До корректировки</t>
  </si>
  <si>
    <t>Разница</t>
  </si>
  <si>
    <t>A000989681013FSEW</t>
  </si>
  <si>
    <t>A000989681011FSEW</t>
  </si>
  <si>
    <t>A000989671013FBDW</t>
  </si>
  <si>
    <t>A000989671011FBDW|Масло моторное|MERCEDES|229.52|5W-30|Синтетическое|Германия|12x1л</t>
  </si>
  <si>
    <t>A000989671011FBDW</t>
  </si>
  <si>
    <t>MERCEDES-BENZ</t>
  </si>
  <si>
    <t>A000989671013FBDW|Масло моторное|MERCEDES|229.52|5W-30|Синтетическое|Германия|3x5л</t>
  </si>
  <si>
    <t>A000989681013FSEW|Масло моторное|MERCEDES|229.5|5W-40|Синтетическое|Германия|3x5л</t>
  </si>
  <si>
    <t>A000989681011FSEW|Масло моторное|MERCEDES|229.5|5W-40|Синтетическое|Германия|12x1л</t>
  </si>
  <si>
    <t>83212465843|Масло моторное|BMW|LL-01|5W-30|Синтетическое|Оман|12x1л</t>
  </si>
  <si>
    <t>MZ321232|Масло моторное|Mitsubishi|GF-6A/SP|5W-30|Синтетическое|ОАЭ|3x4л</t>
  </si>
  <si>
    <t>Новый себес</t>
  </si>
  <si>
    <t>Обзий объем</t>
  </si>
  <si>
    <t>Новая рентабельность</t>
  </si>
  <si>
    <t>83215B5BFA4</t>
  </si>
  <si>
    <t>83212465843|Масло моторное|BMW|LL-04|5W-30|Синтетическое|Германия|12x1л</t>
  </si>
  <si>
    <t>Заказ из ящика №7</t>
  </si>
  <si>
    <t>0888602905</t>
  </si>
  <si>
    <t>TOYOTA</t>
  </si>
  <si>
    <t>0888602905|Масло трансмиссионное CVT|TOYOTA|Fluid FE|Синтетическое|Япония|4x4л</t>
  </si>
  <si>
    <t>Артикул</t>
  </si>
  <si>
    <t>0450000115</t>
  </si>
  <si>
    <t>MOBIS</t>
  </si>
  <si>
    <t>0450000115|Масло трансмиссионное ATF|Hyundai-KIA|SP-IV|Синтетическое|ОАЭ|12x1л</t>
  </si>
  <si>
    <t>MZ321233</t>
  </si>
  <si>
    <t>MZ321233|Масло моторное|Mitsubishi|GF-6A/SP|5W-30|Синтетическое|ОАЭ|12x1л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</si>
</sst>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#,##0.00&quot; ₽&quot;"/>
    <numFmt numFmtId="166" formatCode="0.0000"/>
    <numFmt numFmtId="167" formatCode="_-[$$-1009]* #,##0.00_-;\-[$$-1009]* #,##0.00_-;_-[$$-1009]* \-??_-;_-@_-"/>
    <numFmt numFmtId="168" formatCode="#,##0.00\ [$₽-419]"/>
    <numFmt numFmtId="169" formatCode="0.0%"/>
    <numFmt numFmtId="170" formatCode="#,##0.00\ [$₽-419];[Red]\-#,##0.00\ [$₽-419]"/>
    <numFmt numFmtId="171" formatCode="0&quot; кг.&quot;"/>
    <numFmt numFmtId="172" formatCode="#,##0.0"/>
    <numFmt numFmtId="173" formatCode="#,##0.00\ &quot;₽&quot;"/>
    <numFmt numFmtId="174" formatCode="_-[$$-1009]* #,##0.00_-;\-[$$-1009]* #,##0.00_-;_-[$$-1009]* &quot;-&quot;??_-;_-@_-"/>
  </numFmts>
  <fonts count="15" x14ac:knownFonts="1">
    <font>
      <sz val="10"/>
      <color theme="1"/>
      <name val="Arial"/>
    </font>
    <font>
      <sz val="10"/>
      <name val="Arial"/>
      <family val="2"/>
      <charset val="204"/>
    </font>
    <font>
      <sz val="10"/>
      <name val="Calibri Light"/>
      <family val="2"/>
      <charset val="204"/>
    </font>
    <font>
      <b/>
      <sz val="10"/>
      <color indexed="2"/>
      <name val="Calibri Light"/>
      <family val="2"/>
      <charset val="204"/>
    </font>
    <font>
      <b/>
      <sz val="10"/>
      <name val="Calibri Light"/>
      <family val="2"/>
      <charset val="204"/>
    </font>
    <font>
      <b/>
      <sz val="12"/>
      <name val="Calibri Light"/>
      <family val="2"/>
      <charset val="204"/>
    </font>
    <font>
      <b/>
      <sz val="12"/>
      <color indexed="2"/>
      <name val="Calibri Light"/>
      <family val="2"/>
      <charset val="204"/>
    </font>
    <font>
      <sz val="12"/>
      <name val="Calibri Light"/>
      <family val="2"/>
      <charset val="204"/>
    </font>
    <font>
      <b/>
      <sz val="12"/>
      <color rgb="FFC00000"/>
      <name val="Calibri Light"/>
      <family val="2"/>
      <charset val="204"/>
    </font>
    <font>
      <b/>
      <sz val="11"/>
      <name val="Calibri Light"/>
      <family val="2"/>
      <charset val="204"/>
    </font>
    <font>
      <sz val="11"/>
      <color rgb="FFC9211E"/>
      <name val="Calibri Light"/>
      <family val="2"/>
      <charset val="204"/>
    </font>
    <font>
      <b/>
      <sz val="12"/>
      <color rgb="FF00A933"/>
      <name val="Calibri Light"/>
      <family val="2"/>
      <charset val="204"/>
    </font>
    <font>
      <sz val="12"/>
      <name val="Calibri Light"/>
      <family val="2"/>
      <charset val="204"/>
    </font>
    <font>
      <b/>
      <sz val="12"/>
      <name val="Calibri Light"/>
      <family val="2"/>
      <charset val="204"/>
    </font>
    <font>
      <b/>
      <sz val="12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D7D7"/>
        <bgColor rgb="FFDDDDDD"/>
      </patternFill>
    </fill>
    <fill>
      <patternFill patternType="solid">
        <fgColor indexed="65"/>
        <bgColor indexed="26"/>
      </patternFill>
    </fill>
    <fill>
      <patternFill patternType="solid">
        <fgColor rgb="FFED7D31"/>
        <bgColor indexed="29"/>
      </patternFill>
    </fill>
    <fill>
      <patternFill patternType="solid">
        <fgColor indexed="5"/>
        <bgColor indexed="5"/>
      </patternFill>
    </fill>
    <fill>
      <patternFill patternType="solid">
        <fgColor rgb="FF81D41A"/>
        <bgColor indexed="55"/>
      </patternFill>
    </fill>
    <fill>
      <patternFill patternType="solid">
        <fgColor rgb="FFDDDDDD"/>
        <bgColor rgb="FFFFD7D7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Border="0" applyProtection="0"/>
  </cellStyleXfs>
  <cellXfs count="76">
    <xf numFmtId="0" fontId="0" fillId="0" borderId="0" xfId="0"/>
    <xf numFmtId="49" fontId="2" fillId="0" borderId="0" xfId="0" applyNumberFormat="1" applyFont="1" applyAlignment="1" applyProtection="1">
      <alignment vertical="center" wrapText="1"/>
    </xf>
    <xf numFmtId="1" fontId="2" fillId="0" borderId="0" xfId="0" applyNumberFormat="1" applyFont="1" applyAlignment="1" applyProtection="1">
      <alignment horizontal="left" vertical="center" wrapText="1"/>
    </xf>
    <xf numFmtId="2" fontId="2" fillId="0" borderId="0" xfId="0" applyNumberFormat="1" applyFont="1" applyAlignment="1" applyProtection="1">
      <alignment horizontal="left" vertical="center" wrapText="1"/>
    </xf>
    <xf numFmtId="1" fontId="3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wrapText="1"/>
    </xf>
    <xf numFmtId="1" fontId="4" fillId="0" borderId="0" xfId="0" applyNumberFormat="1" applyFont="1" applyAlignment="1" applyProtection="1">
      <alignment horizontal="center" wrapText="1"/>
    </xf>
    <xf numFmtId="2" fontId="2" fillId="0" borderId="0" xfId="0" applyNumberFormat="1" applyFont="1" applyAlignment="1" applyProtection="1">
      <alignment horizontal="center" wrapText="1"/>
    </xf>
    <xf numFmtId="0" fontId="2" fillId="0" borderId="0" xfId="0" applyFont="1" applyProtection="1"/>
    <xf numFmtId="49" fontId="5" fillId="2" borderId="1" xfId="0" applyNumberFormat="1" applyFont="1" applyFill="1" applyBorder="1" applyAlignment="1" applyProtection="1">
      <alignment horizontal="center" vertical="center" wrapText="1"/>
    </xf>
    <xf numFmtId="1" fontId="5" fillId="2" borderId="1" xfId="0" applyNumberFormat="1" applyFont="1" applyFill="1" applyBorder="1" applyAlignment="1" applyProtection="1">
      <alignment horizontal="center" vertical="center" wrapText="1"/>
    </xf>
    <xf numFmtId="2" fontId="5" fillId="2" borderId="1" xfId="0" applyNumberFormat="1" applyFont="1" applyFill="1" applyBorder="1" applyAlignment="1" applyProtection="1">
      <alignment horizontal="center" vertical="center" wrapText="1"/>
    </xf>
    <xf numFmtId="1" fontId="6" fillId="2" borderId="1" xfId="0" applyNumberFormat="1" applyFont="1" applyFill="1" applyBorder="1" applyAlignment="1" applyProtection="1">
      <alignment horizontal="center" vertical="center" wrapText="1"/>
    </xf>
    <xf numFmtId="2" fontId="5" fillId="2" borderId="2" xfId="0" applyNumberFormat="1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165" fontId="5" fillId="3" borderId="1" xfId="0" applyNumberFormat="1" applyFont="1" applyFill="1" applyBorder="1" applyAlignment="1" applyProtection="1">
      <alignment horizontal="center" vertical="center" wrapText="1"/>
    </xf>
    <xf numFmtId="165" fontId="5" fillId="0" borderId="3" xfId="0" applyNumberFormat="1" applyFont="1" applyBorder="1" applyAlignment="1" applyProtection="1">
      <alignment horizontal="center" vertical="center" wrapText="1"/>
    </xf>
    <xf numFmtId="2" fontId="5" fillId="3" borderId="1" xfId="0" applyNumberFormat="1" applyFont="1" applyFill="1" applyBorder="1" applyAlignment="1" applyProtection="1">
      <alignment horizontal="center" vertical="center" wrapText="1"/>
    </xf>
    <xf numFmtId="1" fontId="6" fillId="0" borderId="1" xfId="0" applyNumberFormat="1" applyFont="1" applyBorder="1" applyAlignment="1" applyProtection="1">
      <alignment horizontal="center" vertical="center" wrapText="1"/>
    </xf>
    <xf numFmtId="1" fontId="5" fillId="4" borderId="1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left" vertical="center" wrapText="1"/>
    </xf>
    <xf numFmtId="4" fontId="7" fillId="0" borderId="4" xfId="0" applyNumberFormat="1" applyFont="1" applyBorder="1" applyAlignment="1" applyProtection="1">
      <alignment horizontal="center" vertical="center" wrapText="1"/>
    </xf>
    <xf numFmtId="167" fontId="7" fillId="0" borderId="2" xfId="2" applyNumberFormat="1" applyFont="1" applyBorder="1" applyAlignment="1" applyProtection="1">
      <alignment horizontal="right" vertical="center"/>
    </xf>
    <xf numFmtId="1" fontId="7" fillId="5" borderId="4" xfId="0" applyNumberFormat="1" applyFont="1" applyFill="1" applyBorder="1" applyAlignment="1" applyProtection="1">
      <alignment horizontal="center" vertical="center" wrapText="1"/>
    </xf>
    <xf numFmtId="168" fontId="7" fillId="0" borderId="4" xfId="0" applyNumberFormat="1" applyFont="1" applyBorder="1" applyAlignment="1" applyProtection="1">
      <alignment horizontal="right" vertical="center" wrapText="1"/>
    </xf>
    <xf numFmtId="168" fontId="6" fillId="0" borderId="4" xfId="0" applyNumberFormat="1" applyFont="1" applyBorder="1" applyAlignment="1" applyProtection="1">
      <alignment horizontal="right" vertical="center" wrapText="1"/>
    </xf>
    <xf numFmtId="1" fontId="7" fillId="4" borderId="4" xfId="0" applyNumberFormat="1" applyFont="1" applyFill="1" applyBorder="1" applyAlignment="1" applyProtection="1">
      <alignment horizontal="center" vertical="center" wrapText="1"/>
    </xf>
    <xf numFmtId="169" fontId="1" fillId="0" borderId="4" xfId="3" applyNumberFormat="1" applyFont="1" applyBorder="1" applyProtection="1"/>
    <xf numFmtId="165" fontId="7" fillId="0" borderId="4" xfId="0" applyNumberFormat="1" applyFont="1" applyBorder="1" applyAlignment="1" applyProtection="1">
      <alignment horizontal="right" vertical="center" wrapText="1"/>
    </xf>
    <xf numFmtId="168" fontId="7" fillId="0" borderId="0" xfId="0" applyNumberFormat="1" applyFont="1" applyAlignment="1" applyProtection="1">
      <alignment horizontal="right" vertical="center" wrapText="1"/>
    </xf>
    <xf numFmtId="49" fontId="7" fillId="0" borderId="0" xfId="0" applyNumberFormat="1" applyFont="1" applyAlignment="1" applyProtection="1">
      <alignment vertical="center" wrapText="1"/>
    </xf>
    <xf numFmtId="1" fontId="7" fillId="0" borderId="0" xfId="0" applyNumberFormat="1" applyFont="1" applyAlignment="1" applyProtection="1">
      <alignment horizontal="left" vertical="center" wrapText="1"/>
    </xf>
    <xf numFmtId="2" fontId="7" fillId="0" borderId="0" xfId="0" applyNumberFormat="1" applyFont="1" applyAlignment="1" applyProtection="1">
      <alignment horizontal="left" vertical="center" wrapText="1"/>
    </xf>
    <xf numFmtId="1" fontId="5" fillId="6" borderId="0" xfId="0" applyNumberFormat="1" applyFont="1" applyFill="1" applyAlignment="1" applyProtection="1">
      <alignment horizontal="center" wrapText="1"/>
    </xf>
    <xf numFmtId="1" fontId="8" fillId="0" borderId="0" xfId="0" applyNumberFormat="1" applyFont="1" applyAlignment="1" applyProtection="1">
      <alignment horizontal="center" wrapText="1"/>
    </xf>
    <xf numFmtId="170" fontId="9" fillId="7" borderId="0" xfId="0" applyNumberFormat="1" applyFont="1" applyFill="1" applyProtection="1"/>
    <xf numFmtId="9" fontId="0" fillId="0" borderId="0" xfId="3" applyNumberFormat="1" applyFont="1" applyAlignment="1" applyProtection="1">
      <alignment horizontal="center" wrapText="1"/>
    </xf>
    <xf numFmtId="0" fontId="10" fillId="7" borderId="0" xfId="0" applyFont="1" applyFill="1" applyAlignment="1" applyProtection="1">
      <alignment horizontal="center"/>
    </xf>
    <xf numFmtId="0" fontId="0" fillId="0" borderId="0" xfId="0" applyProtection="1"/>
    <xf numFmtId="165" fontId="11" fillId="0" borderId="0" xfId="0" applyNumberFormat="1" applyFont="1" applyAlignment="1" applyProtection="1">
      <alignment horizontal="right" wrapText="1"/>
    </xf>
    <xf numFmtId="165" fontId="11" fillId="0" borderId="0" xfId="0" applyNumberFormat="1" applyFont="1" applyAlignment="1" applyProtection="1">
      <alignment horizontal="center" wrapText="1"/>
    </xf>
    <xf numFmtId="172" fontId="1" fillId="0" borderId="0" xfId="3" applyNumberFormat="1" applyFont="1" applyProtection="1"/>
    <xf numFmtId="49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left" vertical="center" wrapText="1"/>
    </xf>
    <xf numFmtId="4" fontId="7" fillId="0" borderId="0" xfId="0" applyNumberFormat="1" applyFont="1" applyBorder="1" applyAlignment="1" applyProtection="1">
      <alignment horizontal="center" vertical="center" wrapText="1"/>
    </xf>
    <xf numFmtId="167" fontId="7" fillId="0" borderId="0" xfId="2" applyNumberFormat="1" applyFont="1" applyBorder="1" applyAlignment="1" applyProtection="1">
      <alignment horizontal="right" vertical="center"/>
    </xf>
    <xf numFmtId="168" fontId="7" fillId="0" borderId="0" xfId="0" applyNumberFormat="1" applyFont="1" applyBorder="1" applyAlignment="1" applyProtection="1">
      <alignment horizontal="right" vertical="center" wrapText="1"/>
    </xf>
    <xf numFmtId="168" fontId="6" fillId="0" borderId="0" xfId="0" applyNumberFormat="1" applyFont="1" applyBorder="1" applyAlignment="1" applyProtection="1">
      <alignment horizontal="right" vertical="center" wrapText="1"/>
    </xf>
    <xf numFmtId="169" fontId="1" fillId="0" borderId="0" xfId="3" applyNumberFormat="1" applyFont="1" applyBorder="1" applyProtection="1"/>
    <xf numFmtId="165" fontId="7" fillId="0" borderId="0" xfId="0" applyNumberFormat="1" applyFont="1" applyBorder="1" applyAlignment="1" applyProtection="1">
      <alignment horizontal="right" vertical="center" wrapText="1"/>
    </xf>
    <xf numFmtId="167" fontId="9" fillId="6" borderId="2" xfId="0" applyNumberFormat="1" applyFont="1" applyFill="1" applyBorder="1" applyAlignment="1" applyProtection="1">
      <alignment horizontal="left" vertical="center" wrapText="1"/>
    </xf>
    <xf numFmtId="171" fontId="8" fillId="5" borderId="2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Fill="1" applyBorder="1" applyAlignment="1" applyProtection="1">
      <alignment horizontal="center" vertical="center" wrapText="1"/>
    </xf>
    <xf numFmtId="166" fontId="12" fillId="0" borderId="4" xfId="0" applyNumberFormat="1" applyFont="1" applyBorder="1" applyAlignment="1" applyProtection="1">
      <alignment horizontal="center" vertical="center" wrapText="1"/>
    </xf>
    <xf numFmtId="167" fontId="9" fillId="6" borderId="2" xfId="0" applyNumberFormat="1" applyFont="1" applyFill="1" applyBorder="1" applyProtection="1"/>
    <xf numFmtId="1" fontId="8" fillId="5" borderId="2" xfId="0" applyNumberFormat="1" applyFont="1" applyFill="1" applyBorder="1" applyAlignment="1" applyProtection="1">
      <alignment horizontal="center" wrapText="1"/>
    </xf>
    <xf numFmtId="165" fontId="13" fillId="0" borderId="0" xfId="0" applyNumberFormat="1" applyFont="1" applyBorder="1" applyAlignment="1" applyProtection="1">
      <alignment horizontal="right" vertical="center" wrapText="1"/>
    </xf>
    <xf numFmtId="0" fontId="14" fillId="8" borderId="2" xfId="0" applyFont="1" applyFill="1" applyBorder="1" applyAlignment="1">
      <alignment horizontal="center" vertical="center"/>
    </xf>
    <xf numFmtId="10" fontId="14" fillId="8" borderId="2" xfId="3" applyNumberFormat="1" applyFont="1" applyFill="1" applyBorder="1" applyAlignment="1" applyProtection="1">
      <alignment horizontal="center" vertical="center"/>
    </xf>
    <xf numFmtId="173" fontId="7" fillId="0" borderId="0" xfId="0" applyNumberFormat="1" applyFont="1" applyAlignment="1" applyProtection="1">
      <alignment horizontal="center" wrapText="1"/>
    </xf>
    <xf numFmtId="168" fontId="6" fillId="9" borderId="4" xfId="0" applyNumberFormat="1" applyFont="1" applyFill="1" applyBorder="1" applyAlignment="1" applyProtection="1">
      <alignment horizontal="right" vertical="center" wrapText="1"/>
    </xf>
    <xf numFmtId="169" fontId="1" fillId="9" borderId="4" xfId="3" applyNumberFormat="1" applyFont="1" applyFill="1" applyBorder="1" applyProtection="1"/>
    <xf numFmtId="169" fontId="1" fillId="0" borderId="0" xfId="3" applyNumberFormat="1" applyProtection="1"/>
    <xf numFmtId="166" fontId="7" fillId="0" borderId="4" xfId="0" applyNumberFormat="1" applyFont="1" applyBorder="1" applyAlignment="1">
      <alignment horizontal="center" vertical="center" wrapText="1"/>
    </xf>
    <xf numFmtId="166" fontId="7" fillId="0" borderId="4" xfId="0" applyNumberFormat="1" applyFont="1" applyBorder="1" applyAlignment="1">
      <alignment horizontal="left" vertical="center" wrapText="1"/>
    </xf>
    <xf numFmtId="4" fontId="7" fillId="0" borderId="4" xfId="0" applyNumberFormat="1" applyFont="1" applyBorder="1" applyAlignment="1">
      <alignment horizontal="center" vertical="center" wrapText="1"/>
    </xf>
    <xf numFmtId="49" fontId="2" fillId="10" borderId="0" xfId="0" applyNumberFormat="1" applyFont="1" applyFill="1" applyAlignment="1" applyProtection="1">
      <alignment vertical="center" wrapText="1"/>
    </xf>
    <xf numFmtId="49" fontId="7" fillId="11" borderId="4" xfId="0" applyNumberFormat="1" applyFont="1" applyFill="1" applyBorder="1" applyAlignment="1" applyProtection="1">
      <alignment horizontal="center" vertical="center" wrapText="1"/>
    </xf>
    <xf numFmtId="166" fontId="7" fillId="0" borderId="4" xfId="0" applyNumberFormat="1" applyFont="1" applyFill="1" applyBorder="1" applyAlignment="1" applyProtection="1">
      <alignment horizontal="center" vertical="center" wrapText="1"/>
    </xf>
    <xf numFmtId="166" fontId="7" fillId="0" borderId="4" xfId="0" applyNumberFormat="1" applyFont="1" applyFill="1" applyBorder="1" applyAlignment="1" applyProtection="1">
      <alignment horizontal="left" vertical="center" wrapText="1"/>
    </xf>
    <xf numFmtId="174" fontId="0" fillId="0" borderId="0" xfId="0" applyNumberFormat="1"/>
  </cellXfs>
  <cellStyles count="4">
    <cellStyle name="Normal" xfId="0" builtinId="0"/>
    <cellStyle name="Normal 2" xfId="1" xr:uid="{00000000-0005-0000-0000-000000000000}"/>
    <cellStyle name="Percent" xfId="3" builtinId="5"/>
    <cellStyle name="Обычный 8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K39"/>
  <sheetViews>
    <sheetView tabSelected="1" zoomScaleNormal="100" workbookViewId="0">
      <pane xSplit="5" ySplit="1" topLeftCell="F2" activePane="bottomRight" state="frozen"/>
      <selection sqref="A1:H5"/>
      <selection pane="topRight"/>
      <selection pane="bottomLeft"/>
      <selection pane="bottomRight" activeCell="C23" sqref="C23"/>
    </sheetView>
  </sheetViews>
  <sheetFormatPr defaultColWidth="11.5703125" defaultRowHeight="12.75" x14ac:dyDescent="0.2"/>
  <cols>
    <col min="1" max="1" width="25.7109375" style="1" customWidth="1"/>
    <col min="2" max="2" width="24.85546875" style="2" customWidth="1"/>
    <col min="3" max="3" width="94.85546875" style="2" customWidth="1"/>
    <col min="4" max="4" width="11.7109375" style="3" customWidth="1"/>
    <col min="5" max="8" width="10.85546875" style="4" customWidth="1"/>
    <col min="9" max="9" width="10.42578125" style="5" customWidth="1"/>
    <col min="10" max="10" width="10.7109375" style="6" customWidth="1"/>
    <col min="11" max="12" width="22.28515625" style="6" bestFit="1" customWidth="1"/>
    <col min="13" max="13" width="16.42578125" style="7" customWidth="1"/>
    <col min="14" max="14" width="11.5703125" style="5"/>
    <col min="15" max="15" width="11.5703125" style="7"/>
    <col min="16" max="16" width="12.5703125" style="5" customWidth="1"/>
    <col min="17" max="17" width="18.5703125" style="5" customWidth="1"/>
    <col min="18" max="19" width="17.5703125" style="7" customWidth="1"/>
    <col min="20" max="20" width="14.140625" style="7" customWidth="1"/>
    <col min="21" max="21" width="21.5703125" style="7" customWidth="1"/>
    <col min="22" max="23" width="16" style="5" customWidth="1"/>
    <col min="24" max="24" width="17.5703125" style="5" customWidth="1"/>
    <col min="25" max="26" width="19.140625" style="5" customWidth="1"/>
    <col min="27" max="27" width="34.42578125" style="5" customWidth="1"/>
    <col min="28" max="28" width="28" style="5" customWidth="1"/>
    <col min="29" max="29" width="15.7109375" style="5" customWidth="1"/>
    <col min="30" max="30" width="11.5703125" style="5"/>
    <col min="31" max="31" width="44.140625" style="5" customWidth="1"/>
    <col min="32" max="1023" width="11.5703125" style="5"/>
    <col min="1024" max="1025" width="11.5703125" style="8"/>
  </cols>
  <sheetData>
    <row r="1" spans="1:1025" ht="60.75" customHeight="1" x14ac:dyDescent="0.25">
      <c r="A1" s="9" t="s">
        <v>51</v>
      </c>
      <c r="B1" s="10" t="s">
        <v>0</v>
      </c>
      <c r="C1" s="10" t="s">
        <v>1</v>
      </c>
      <c r="D1" s="11" t="s">
        <v>2</v>
      </c>
      <c r="E1" s="12" t="s">
        <v>3</v>
      </c>
      <c r="F1" s="12" t="s">
        <v>43</v>
      </c>
      <c r="G1" s="12" t="s">
        <v>29</v>
      </c>
      <c r="H1" s="12" t="s">
        <v>30</v>
      </c>
      <c r="I1" s="10" t="s">
        <v>4</v>
      </c>
      <c r="J1" s="10" t="s">
        <v>5</v>
      </c>
      <c r="K1" s="10" t="s">
        <v>6</v>
      </c>
      <c r="L1" s="10" t="s">
        <v>28</v>
      </c>
      <c r="M1" s="13" t="s">
        <v>7</v>
      </c>
      <c r="N1" s="14" t="s">
        <v>8</v>
      </c>
      <c r="O1" s="11" t="s">
        <v>9</v>
      </c>
      <c r="P1" s="15" t="s">
        <v>10</v>
      </c>
      <c r="Q1" s="16" t="s">
        <v>11</v>
      </c>
      <c r="R1" s="17" t="s">
        <v>12</v>
      </c>
      <c r="S1" s="17" t="s">
        <v>13</v>
      </c>
      <c r="T1" s="17" t="s">
        <v>14</v>
      </c>
      <c r="U1" s="17" t="s">
        <v>15</v>
      </c>
      <c r="V1" s="18" t="s">
        <v>16</v>
      </c>
      <c r="W1" s="18" t="s">
        <v>42</v>
      </c>
      <c r="X1" s="19" t="s">
        <v>17</v>
      </c>
      <c r="Y1" s="20" t="s">
        <v>18</v>
      </c>
      <c r="Z1" s="20" t="s">
        <v>44</v>
      </c>
      <c r="AA1" s="20" t="s">
        <v>19</v>
      </c>
      <c r="AB1" s="20" t="s">
        <v>20</v>
      </c>
      <c r="AC1" s="21"/>
      <c r="AD1" s="21"/>
      <c r="AE1" s="21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/>
      <c r="IG1" s="22"/>
      <c r="IH1" s="22"/>
      <c r="II1" s="22"/>
      <c r="IJ1" s="22"/>
      <c r="IK1" s="22"/>
      <c r="IL1" s="22"/>
      <c r="IM1" s="22"/>
      <c r="IN1" s="22"/>
      <c r="IO1" s="22"/>
      <c r="IP1" s="22"/>
      <c r="IQ1" s="22"/>
      <c r="IR1" s="22"/>
      <c r="IS1" s="22"/>
      <c r="IT1" s="22"/>
      <c r="IU1" s="22"/>
      <c r="IV1" s="22"/>
      <c r="IW1" s="22"/>
      <c r="IX1" s="22"/>
      <c r="IY1" s="22"/>
      <c r="IZ1" s="22"/>
      <c r="JA1" s="22"/>
      <c r="JB1" s="22"/>
      <c r="JC1" s="22"/>
      <c r="JD1" s="22"/>
      <c r="JE1" s="22"/>
      <c r="JF1" s="22"/>
      <c r="JG1" s="22"/>
      <c r="JH1" s="22"/>
      <c r="JI1" s="22"/>
      <c r="JJ1" s="22"/>
      <c r="JK1" s="22"/>
      <c r="JL1" s="22"/>
      <c r="JM1" s="22"/>
      <c r="JN1" s="22"/>
      <c r="JO1" s="22"/>
      <c r="JP1" s="22"/>
      <c r="JQ1" s="22"/>
      <c r="JR1" s="22"/>
      <c r="JS1" s="22"/>
      <c r="JT1" s="22"/>
      <c r="JU1" s="22"/>
      <c r="JV1" s="22"/>
      <c r="JW1" s="22"/>
      <c r="JX1" s="22"/>
      <c r="JY1" s="22"/>
      <c r="JZ1" s="22"/>
      <c r="KA1" s="22"/>
      <c r="KB1" s="22"/>
      <c r="KC1" s="22"/>
      <c r="KD1" s="22"/>
      <c r="KE1" s="22"/>
      <c r="KF1" s="22"/>
      <c r="KG1" s="22"/>
      <c r="KH1" s="22"/>
      <c r="KI1" s="22"/>
      <c r="KJ1" s="22"/>
      <c r="KK1" s="22"/>
      <c r="KL1" s="22"/>
      <c r="KM1" s="22"/>
      <c r="KN1" s="22"/>
      <c r="KO1" s="22"/>
      <c r="KP1" s="22"/>
      <c r="KQ1" s="22"/>
      <c r="KR1" s="22"/>
      <c r="KS1" s="22"/>
      <c r="KT1" s="22"/>
      <c r="KU1" s="22"/>
      <c r="KV1" s="22"/>
      <c r="KW1" s="22"/>
      <c r="KX1" s="22"/>
      <c r="KY1" s="22"/>
      <c r="KZ1" s="22"/>
      <c r="LA1" s="22"/>
      <c r="LB1" s="22"/>
      <c r="LC1" s="22"/>
      <c r="LD1" s="22"/>
      <c r="LE1" s="22"/>
      <c r="LF1" s="22"/>
      <c r="LG1" s="22"/>
      <c r="LH1" s="22"/>
      <c r="LI1" s="22"/>
      <c r="LJ1" s="22"/>
      <c r="LK1" s="22"/>
      <c r="LL1" s="22"/>
      <c r="LM1" s="22"/>
      <c r="LN1" s="22"/>
      <c r="LO1" s="22"/>
      <c r="LP1" s="22"/>
      <c r="LQ1" s="22"/>
      <c r="LR1" s="22"/>
      <c r="LS1" s="22"/>
      <c r="LT1" s="22"/>
      <c r="LU1" s="22"/>
      <c r="LV1" s="22"/>
      <c r="LW1" s="22"/>
      <c r="LX1" s="22"/>
      <c r="LY1" s="22"/>
      <c r="LZ1" s="22"/>
      <c r="MA1" s="22"/>
      <c r="MB1" s="22"/>
      <c r="MC1" s="22"/>
      <c r="MD1" s="22"/>
      <c r="ME1" s="22"/>
      <c r="MF1" s="22"/>
      <c r="MG1" s="22"/>
      <c r="MH1" s="22"/>
      <c r="MI1" s="22"/>
      <c r="MJ1" s="22"/>
      <c r="MK1" s="22"/>
      <c r="ML1" s="22"/>
      <c r="MM1" s="22"/>
      <c r="MN1" s="22"/>
      <c r="MO1" s="22"/>
      <c r="MP1" s="22"/>
      <c r="MQ1" s="22"/>
      <c r="MR1" s="22"/>
      <c r="MS1" s="22"/>
      <c r="MT1" s="22"/>
      <c r="MU1" s="22"/>
      <c r="MV1" s="22"/>
      <c r="MW1" s="22"/>
      <c r="MX1" s="22"/>
      <c r="MY1" s="22"/>
      <c r="MZ1" s="22"/>
      <c r="NA1" s="22"/>
      <c r="NB1" s="22"/>
      <c r="NC1" s="22"/>
      <c r="ND1" s="22"/>
      <c r="NE1" s="22"/>
      <c r="NF1" s="22"/>
      <c r="NG1" s="22"/>
      <c r="NH1" s="22"/>
      <c r="NI1" s="22"/>
      <c r="NJ1" s="22"/>
      <c r="NK1" s="22"/>
      <c r="NL1" s="22"/>
      <c r="NM1" s="22"/>
      <c r="NN1" s="22"/>
      <c r="NO1" s="22"/>
      <c r="NP1" s="22"/>
      <c r="NQ1" s="22"/>
      <c r="NR1" s="22"/>
      <c r="NS1" s="22"/>
      <c r="NT1" s="22"/>
      <c r="NU1" s="22"/>
      <c r="NV1" s="22"/>
      <c r="NW1" s="22"/>
      <c r="NX1" s="22"/>
      <c r="NY1" s="22"/>
      <c r="NZ1" s="22"/>
      <c r="OA1" s="22"/>
      <c r="OB1" s="22"/>
      <c r="OC1" s="22"/>
      <c r="OD1" s="22"/>
      <c r="OE1" s="22"/>
      <c r="OF1" s="22"/>
      <c r="OG1" s="22"/>
      <c r="OH1" s="22"/>
      <c r="OI1" s="22"/>
      <c r="OJ1" s="22"/>
      <c r="OK1" s="22"/>
      <c r="OL1" s="22"/>
      <c r="OM1" s="22"/>
      <c r="ON1" s="22"/>
      <c r="OO1" s="22"/>
      <c r="OP1" s="22"/>
      <c r="OQ1" s="22"/>
      <c r="OR1" s="22"/>
      <c r="OS1" s="22"/>
      <c r="OT1" s="22"/>
      <c r="OU1" s="22"/>
      <c r="OV1" s="22"/>
      <c r="OW1" s="22"/>
      <c r="OX1" s="22"/>
      <c r="OY1" s="22"/>
      <c r="OZ1" s="22"/>
      <c r="PA1" s="22"/>
      <c r="PB1" s="22"/>
      <c r="PC1" s="22"/>
      <c r="PD1" s="22"/>
      <c r="PE1" s="22"/>
      <c r="PF1" s="22"/>
      <c r="PG1" s="22"/>
      <c r="PH1" s="22"/>
      <c r="PI1" s="22"/>
      <c r="PJ1" s="22"/>
      <c r="PK1" s="22"/>
      <c r="PL1" s="22"/>
      <c r="PM1" s="22"/>
      <c r="PN1" s="22"/>
      <c r="PO1" s="22"/>
      <c r="PP1" s="22"/>
      <c r="PQ1" s="22"/>
      <c r="PR1" s="22"/>
      <c r="PS1" s="22"/>
      <c r="PT1" s="22"/>
      <c r="PU1" s="22"/>
      <c r="PV1" s="22"/>
      <c r="PW1" s="22"/>
      <c r="PX1" s="22"/>
      <c r="PY1" s="22"/>
      <c r="PZ1" s="22"/>
      <c r="QA1" s="22"/>
      <c r="QB1" s="22"/>
      <c r="QC1" s="22"/>
      <c r="QD1" s="22"/>
      <c r="QE1" s="22"/>
      <c r="QF1" s="22"/>
      <c r="QG1" s="22"/>
      <c r="QH1" s="22"/>
      <c r="QI1" s="22"/>
      <c r="QJ1" s="22"/>
      <c r="QK1" s="22"/>
      <c r="QL1" s="22"/>
      <c r="QM1" s="22"/>
      <c r="QN1" s="22"/>
      <c r="QO1" s="22"/>
      <c r="QP1" s="22"/>
      <c r="QQ1" s="22"/>
      <c r="QR1" s="22"/>
      <c r="QS1" s="22"/>
      <c r="QT1" s="22"/>
      <c r="QU1" s="22"/>
      <c r="QV1" s="22"/>
      <c r="QW1" s="22"/>
      <c r="QX1" s="22"/>
      <c r="QY1" s="22"/>
      <c r="QZ1" s="22"/>
      <c r="RA1" s="22"/>
      <c r="RB1" s="22"/>
      <c r="RC1" s="22"/>
      <c r="RD1" s="22"/>
      <c r="RE1" s="22"/>
      <c r="RF1" s="22"/>
      <c r="RG1" s="22"/>
      <c r="RH1" s="22"/>
      <c r="RI1" s="22"/>
      <c r="RJ1" s="22"/>
      <c r="RK1" s="22"/>
      <c r="RL1" s="22"/>
      <c r="RM1" s="22"/>
      <c r="RN1" s="22"/>
      <c r="RO1" s="22"/>
      <c r="RP1" s="22"/>
      <c r="RQ1" s="22"/>
      <c r="RR1" s="22"/>
      <c r="RS1" s="22"/>
      <c r="RT1" s="22"/>
      <c r="RU1" s="22"/>
      <c r="RV1" s="22"/>
      <c r="RW1" s="22"/>
      <c r="RX1" s="22"/>
      <c r="RY1" s="22"/>
      <c r="RZ1" s="22"/>
      <c r="SA1" s="22"/>
      <c r="SB1" s="22"/>
      <c r="SC1" s="22"/>
      <c r="SD1" s="22"/>
      <c r="SE1" s="22"/>
      <c r="SF1" s="22"/>
      <c r="SG1" s="22"/>
      <c r="SH1" s="22"/>
      <c r="SI1" s="22"/>
      <c r="SJ1" s="22"/>
      <c r="SK1" s="22"/>
      <c r="SL1" s="22"/>
      <c r="SM1" s="22"/>
      <c r="SN1" s="22"/>
      <c r="SO1" s="22"/>
      <c r="SP1" s="22"/>
      <c r="SQ1" s="22"/>
      <c r="SR1" s="22"/>
      <c r="SS1" s="22"/>
      <c r="ST1" s="22"/>
      <c r="SU1" s="22"/>
      <c r="SV1" s="22"/>
      <c r="SW1" s="22"/>
      <c r="SX1" s="22"/>
      <c r="SY1" s="22"/>
      <c r="SZ1" s="22"/>
      <c r="TA1" s="22"/>
      <c r="TB1" s="22"/>
      <c r="TC1" s="22"/>
      <c r="TD1" s="22"/>
      <c r="TE1" s="22"/>
      <c r="TF1" s="22"/>
      <c r="TG1" s="22"/>
      <c r="TH1" s="22"/>
      <c r="TI1" s="22"/>
      <c r="TJ1" s="22"/>
      <c r="TK1" s="22"/>
      <c r="TL1" s="22"/>
      <c r="TM1" s="22"/>
      <c r="TN1" s="22"/>
      <c r="TO1" s="22"/>
      <c r="TP1" s="22"/>
      <c r="TQ1" s="22"/>
      <c r="TR1" s="22"/>
      <c r="TS1" s="22"/>
      <c r="TT1" s="22"/>
      <c r="TU1" s="22"/>
      <c r="TV1" s="22"/>
      <c r="TW1" s="22"/>
      <c r="TX1" s="22"/>
      <c r="TY1" s="22"/>
      <c r="TZ1" s="22"/>
      <c r="UA1" s="22"/>
      <c r="UB1" s="22"/>
      <c r="UC1" s="22"/>
      <c r="UD1" s="22"/>
      <c r="UE1" s="22"/>
      <c r="UF1" s="22"/>
      <c r="UG1" s="22"/>
      <c r="UH1" s="22"/>
      <c r="UI1" s="22"/>
      <c r="UJ1" s="22"/>
      <c r="UK1" s="22"/>
      <c r="UL1" s="22"/>
      <c r="UM1" s="22"/>
      <c r="UN1" s="22"/>
      <c r="UO1" s="22"/>
      <c r="UP1" s="22"/>
      <c r="UQ1" s="22"/>
      <c r="UR1" s="22"/>
      <c r="US1" s="22"/>
      <c r="UT1" s="22"/>
      <c r="UU1" s="22"/>
      <c r="UV1" s="22"/>
      <c r="UW1" s="22"/>
      <c r="UX1" s="22"/>
      <c r="UY1" s="22"/>
      <c r="UZ1" s="22"/>
      <c r="VA1" s="22"/>
      <c r="VB1" s="22"/>
      <c r="VC1" s="22"/>
      <c r="VD1" s="22"/>
      <c r="VE1" s="22"/>
      <c r="VF1" s="22"/>
      <c r="VG1" s="22"/>
      <c r="VH1" s="22"/>
      <c r="VI1" s="22"/>
      <c r="VJ1" s="22"/>
      <c r="VK1" s="22"/>
      <c r="VL1" s="22"/>
      <c r="VM1" s="22"/>
      <c r="VN1" s="22"/>
      <c r="VO1" s="22"/>
      <c r="VP1" s="22"/>
      <c r="VQ1" s="22"/>
      <c r="VR1" s="22"/>
      <c r="VS1" s="22"/>
      <c r="VT1" s="22"/>
      <c r="VU1" s="22"/>
      <c r="VV1" s="22"/>
      <c r="VW1" s="22"/>
      <c r="VX1" s="22"/>
      <c r="VY1" s="22"/>
      <c r="VZ1" s="22"/>
      <c r="WA1" s="22"/>
      <c r="WB1" s="22"/>
      <c r="WC1" s="22"/>
      <c r="WD1" s="22"/>
      <c r="WE1" s="22"/>
      <c r="WF1" s="22"/>
      <c r="WG1" s="22"/>
      <c r="WH1" s="22"/>
      <c r="WI1" s="22"/>
      <c r="WJ1" s="22"/>
      <c r="WK1" s="22"/>
      <c r="WL1" s="22"/>
      <c r="WM1" s="22"/>
      <c r="WN1" s="22"/>
      <c r="WO1" s="22"/>
      <c r="WP1" s="22"/>
      <c r="WQ1" s="22"/>
      <c r="WR1" s="22"/>
      <c r="WS1" s="22"/>
      <c r="WT1" s="22"/>
      <c r="WU1" s="22"/>
      <c r="WV1" s="22"/>
      <c r="WW1" s="22"/>
      <c r="WX1" s="22"/>
      <c r="WY1" s="22"/>
      <c r="WZ1" s="22"/>
      <c r="XA1" s="22"/>
      <c r="XB1" s="22"/>
      <c r="XC1" s="22"/>
      <c r="XD1" s="22"/>
      <c r="XE1" s="22"/>
      <c r="XF1" s="22"/>
      <c r="XG1" s="22"/>
      <c r="XH1" s="22"/>
      <c r="XI1" s="22"/>
      <c r="XJ1" s="22"/>
      <c r="XK1" s="22"/>
      <c r="XL1" s="22"/>
      <c r="XM1" s="22"/>
      <c r="XN1" s="22"/>
      <c r="XO1" s="22"/>
      <c r="XP1" s="22"/>
      <c r="XQ1" s="22"/>
      <c r="XR1" s="22"/>
      <c r="XS1" s="22"/>
      <c r="XT1" s="22"/>
      <c r="XU1" s="22"/>
      <c r="XV1" s="22"/>
      <c r="XW1" s="22"/>
      <c r="XX1" s="22"/>
      <c r="XY1" s="22"/>
      <c r="XZ1" s="22"/>
      <c r="YA1" s="22"/>
      <c r="YB1" s="22"/>
      <c r="YC1" s="22"/>
      <c r="YD1" s="22"/>
      <c r="YE1" s="22"/>
      <c r="YF1" s="22"/>
      <c r="YG1" s="22"/>
      <c r="YH1" s="22"/>
      <c r="YI1" s="22"/>
      <c r="YJ1" s="22"/>
      <c r="YK1" s="22"/>
      <c r="YL1" s="22"/>
      <c r="YM1" s="22"/>
      <c r="YN1" s="22"/>
      <c r="YO1" s="22"/>
      <c r="YP1" s="22"/>
      <c r="YQ1" s="22"/>
      <c r="YR1" s="22"/>
      <c r="YS1" s="22"/>
      <c r="YT1" s="22"/>
      <c r="YU1" s="22"/>
      <c r="YV1" s="22"/>
      <c r="YW1" s="22"/>
      <c r="YX1" s="22"/>
      <c r="YY1" s="22"/>
      <c r="YZ1" s="22"/>
      <c r="ZA1" s="22"/>
      <c r="ZB1" s="22"/>
      <c r="ZC1" s="22"/>
      <c r="ZD1" s="22"/>
      <c r="ZE1" s="22"/>
      <c r="ZF1" s="22"/>
      <c r="ZG1" s="22"/>
      <c r="ZH1" s="22"/>
      <c r="ZI1" s="22"/>
      <c r="ZJ1" s="22"/>
      <c r="ZK1" s="22"/>
      <c r="ZL1" s="22"/>
      <c r="ZM1" s="22"/>
      <c r="ZN1" s="22"/>
      <c r="ZO1" s="22"/>
      <c r="ZP1" s="22"/>
      <c r="ZQ1" s="22"/>
      <c r="ZR1" s="22"/>
      <c r="ZS1" s="22"/>
      <c r="ZT1" s="22"/>
      <c r="ZU1" s="22"/>
      <c r="ZV1" s="22"/>
      <c r="ZW1" s="22"/>
      <c r="ZX1" s="22"/>
      <c r="ZY1" s="22"/>
      <c r="ZZ1" s="22"/>
      <c r="AAA1" s="22"/>
      <c r="AAB1" s="22"/>
      <c r="AAC1" s="22"/>
      <c r="AAD1" s="22"/>
      <c r="AAE1" s="22"/>
      <c r="AAF1" s="22"/>
      <c r="AAG1" s="22"/>
      <c r="AAH1" s="22"/>
      <c r="AAI1" s="22"/>
      <c r="AAJ1" s="22"/>
      <c r="AAK1" s="22"/>
      <c r="AAL1" s="22"/>
      <c r="AAM1" s="22"/>
      <c r="AAN1" s="22"/>
      <c r="AAO1" s="22"/>
      <c r="AAP1" s="22"/>
      <c r="AAQ1" s="22"/>
      <c r="AAR1" s="22"/>
      <c r="AAS1" s="22"/>
      <c r="AAT1" s="22"/>
      <c r="AAU1" s="22"/>
      <c r="AAV1" s="22"/>
      <c r="AAW1" s="22"/>
      <c r="AAX1" s="22"/>
      <c r="AAY1" s="22"/>
      <c r="AAZ1" s="22"/>
      <c r="ABA1" s="22"/>
      <c r="ABB1" s="22"/>
      <c r="ABC1" s="22"/>
      <c r="ABD1" s="22"/>
      <c r="ABE1" s="22"/>
      <c r="ABF1" s="22"/>
      <c r="ABG1" s="22"/>
      <c r="ABH1" s="22"/>
      <c r="ABI1" s="22"/>
      <c r="ABJ1" s="22"/>
      <c r="ABK1" s="22"/>
      <c r="ABL1" s="22"/>
      <c r="ABM1" s="22"/>
      <c r="ABN1" s="22"/>
      <c r="ABO1" s="22"/>
      <c r="ABP1" s="22"/>
      <c r="ABQ1" s="22"/>
      <c r="ABR1" s="22"/>
      <c r="ABS1" s="22"/>
      <c r="ABT1" s="22"/>
      <c r="ABU1" s="22"/>
      <c r="ABV1" s="22"/>
      <c r="ABW1" s="22"/>
      <c r="ABX1" s="22"/>
      <c r="ABY1" s="22"/>
      <c r="ABZ1" s="22"/>
      <c r="ACA1" s="22"/>
      <c r="ACB1" s="22"/>
      <c r="ACC1" s="22"/>
      <c r="ACD1" s="22"/>
      <c r="ACE1" s="22"/>
      <c r="ACF1" s="22"/>
      <c r="ACG1" s="22"/>
      <c r="ACH1" s="22"/>
      <c r="ACI1" s="22"/>
      <c r="ACJ1" s="22"/>
      <c r="ACK1" s="22"/>
      <c r="ACL1" s="22"/>
      <c r="ACM1" s="22"/>
      <c r="ACN1" s="22"/>
      <c r="ACO1" s="22"/>
      <c r="ACP1" s="22"/>
      <c r="ACQ1" s="22"/>
      <c r="ACR1" s="22"/>
      <c r="ACS1" s="22"/>
      <c r="ACT1" s="22"/>
      <c r="ACU1" s="22"/>
      <c r="ACV1" s="22"/>
      <c r="ACW1" s="22"/>
      <c r="ACX1" s="22"/>
      <c r="ACY1" s="22"/>
      <c r="ACZ1" s="22"/>
      <c r="ADA1" s="22"/>
      <c r="ADB1" s="22"/>
      <c r="ADC1" s="22"/>
      <c r="ADD1" s="22"/>
      <c r="ADE1" s="22"/>
      <c r="ADF1" s="22"/>
      <c r="ADG1" s="22"/>
      <c r="ADH1" s="22"/>
      <c r="ADI1" s="22"/>
      <c r="ADJ1" s="22"/>
      <c r="ADK1" s="22"/>
      <c r="ADL1" s="22"/>
      <c r="ADM1" s="22"/>
      <c r="ADN1" s="22"/>
      <c r="ADO1" s="22"/>
      <c r="ADP1" s="22"/>
      <c r="ADQ1" s="22"/>
      <c r="ADR1" s="22"/>
      <c r="ADS1" s="22"/>
      <c r="ADT1" s="22"/>
      <c r="ADU1" s="22"/>
      <c r="ADV1" s="22"/>
      <c r="ADW1" s="22"/>
      <c r="ADX1" s="22"/>
      <c r="ADY1" s="22"/>
      <c r="ADZ1" s="22"/>
      <c r="AEA1" s="22"/>
      <c r="AEB1" s="22"/>
      <c r="AEC1" s="22"/>
      <c r="AED1" s="22"/>
      <c r="AEE1" s="22"/>
      <c r="AEF1" s="22"/>
      <c r="AEG1" s="22"/>
      <c r="AEH1" s="22"/>
      <c r="AEI1" s="22"/>
      <c r="AEJ1" s="22"/>
      <c r="AEK1" s="22"/>
      <c r="AEL1" s="22"/>
      <c r="AEM1" s="22"/>
      <c r="AEN1" s="22"/>
      <c r="AEO1" s="22"/>
      <c r="AEP1" s="22"/>
      <c r="AEQ1" s="22"/>
      <c r="AER1" s="22"/>
      <c r="AES1" s="22"/>
      <c r="AET1" s="22"/>
      <c r="AEU1" s="22"/>
      <c r="AEV1" s="22"/>
      <c r="AEW1" s="22"/>
      <c r="AEX1" s="22"/>
      <c r="AEY1" s="22"/>
      <c r="AEZ1" s="22"/>
      <c r="AFA1" s="22"/>
      <c r="AFB1" s="22"/>
      <c r="AFC1" s="22"/>
      <c r="AFD1" s="22"/>
      <c r="AFE1" s="22"/>
      <c r="AFF1" s="22"/>
      <c r="AFG1" s="22"/>
      <c r="AFH1" s="22"/>
      <c r="AFI1" s="22"/>
      <c r="AFJ1" s="22"/>
      <c r="AFK1" s="22"/>
      <c r="AFL1" s="22"/>
      <c r="AFM1" s="22"/>
      <c r="AFN1" s="22"/>
      <c r="AFO1" s="22"/>
      <c r="AFP1" s="22"/>
      <c r="AFQ1" s="22"/>
      <c r="AFR1" s="22"/>
      <c r="AFS1" s="22"/>
      <c r="AFT1" s="22"/>
      <c r="AFU1" s="22"/>
      <c r="AFV1" s="22"/>
      <c r="AFW1" s="22"/>
      <c r="AFX1" s="22"/>
      <c r="AFY1" s="22"/>
      <c r="AFZ1" s="22"/>
      <c r="AGA1" s="22"/>
      <c r="AGB1" s="22"/>
      <c r="AGC1" s="22"/>
      <c r="AGD1" s="22"/>
      <c r="AGE1" s="22"/>
      <c r="AGF1" s="22"/>
      <c r="AGG1" s="22"/>
      <c r="AGH1" s="22"/>
      <c r="AGI1" s="22"/>
      <c r="AGJ1" s="22"/>
      <c r="AGK1" s="22"/>
      <c r="AGL1" s="22"/>
      <c r="AGM1" s="22"/>
      <c r="AGN1" s="22"/>
      <c r="AGO1" s="22"/>
      <c r="AGP1" s="22"/>
      <c r="AGQ1" s="22"/>
      <c r="AGR1" s="22"/>
      <c r="AGS1" s="22"/>
      <c r="AGT1" s="22"/>
      <c r="AGU1" s="22"/>
      <c r="AGV1" s="22"/>
      <c r="AGW1" s="22"/>
      <c r="AGX1" s="22"/>
      <c r="AGY1" s="22"/>
      <c r="AGZ1" s="22"/>
      <c r="AHA1" s="22"/>
      <c r="AHB1" s="22"/>
      <c r="AHC1" s="22"/>
      <c r="AHD1" s="22"/>
      <c r="AHE1" s="22"/>
      <c r="AHF1" s="22"/>
      <c r="AHG1" s="22"/>
      <c r="AHH1" s="22"/>
      <c r="AHI1" s="22"/>
      <c r="AHJ1" s="22"/>
      <c r="AHK1" s="22"/>
      <c r="AHL1" s="22"/>
      <c r="AHM1" s="22"/>
      <c r="AHN1" s="22"/>
      <c r="AHO1" s="22"/>
      <c r="AHP1" s="22"/>
      <c r="AHQ1" s="22"/>
      <c r="AHR1" s="22"/>
      <c r="AHS1" s="22"/>
      <c r="AHT1" s="22"/>
      <c r="AHU1" s="22"/>
      <c r="AHV1" s="22"/>
      <c r="AHW1" s="22"/>
      <c r="AHX1" s="22"/>
      <c r="AHY1" s="22"/>
      <c r="AHZ1" s="22"/>
      <c r="AIA1" s="22"/>
      <c r="AIB1" s="22"/>
      <c r="AIC1" s="22"/>
      <c r="AID1" s="22"/>
      <c r="AIE1" s="22"/>
      <c r="AIF1" s="22"/>
      <c r="AIG1" s="22"/>
      <c r="AIH1" s="22"/>
      <c r="AII1" s="22"/>
      <c r="AIJ1" s="22"/>
      <c r="AIK1" s="22"/>
      <c r="AIL1" s="22"/>
      <c r="AIM1" s="22"/>
      <c r="AIN1" s="22"/>
      <c r="AIO1" s="22"/>
      <c r="AIP1" s="22"/>
      <c r="AIQ1" s="22"/>
      <c r="AIR1" s="22"/>
      <c r="AIS1" s="22"/>
      <c r="AIT1" s="22"/>
      <c r="AIU1" s="22"/>
      <c r="AIV1" s="22"/>
      <c r="AIW1" s="22"/>
      <c r="AIX1" s="22"/>
      <c r="AIY1" s="22"/>
      <c r="AIZ1" s="22"/>
      <c r="AJA1" s="22"/>
      <c r="AJB1" s="22"/>
      <c r="AJC1" s="22"/>
      <c r="AJD1" s="22"/>
      <c r="AJE1" s="22"/>
      <c r="AJF1" s="22"/>
      <c r="AJG1" s="22"/>
      <c r="AJH1" s="22"/>
      <c r="AJI1" s="22"/>
      <c r="AJJ1" s="22"/>
      <c r="AJK1" s="22"/>
      <c r="AJL1" s="22"/>
      <c r="AJM1" s="22"/>
      <c r="AJN1" s="22"/>
      <c r="AJO1" s="22"/>
      <c r="AJP1" s="22"/>
      <c r="AJQ1" s="22"/>
      <c r="AJR1" s="22"/>
      <c r="AJS1" s="22"/>
      <c r="AJT1" s="22"/>
      <c r="AJU1" s="22"/>
      <c r="AJV1" s="22"/>
      <c r="AJW1" s="22"/>
      <c r="AJX1" s="22"/>
      <c r="AJY1" s="22"/>
      <c r="AJZ1" s="22"/>
      <c r="AKA1" s="22"/>
      <c r="AKB1" s="22"/>
      <c r="AKC1" s="22"/>
      <c r="AKD1" s="22"/>
      <c r="AKE1" s="22"/>
      <c r="AKF1" s="22"/>
      <c r="AKG1" s="22"/>
      <c r="AKH1" s="22"/>
      <c r="AKI1" s="22"/>
      <c r="AKJ1" s="22"/>
      <c r="AKK1" s="22"/>
      <c r="AKL1" s="22"/>
      <c r="AKM1" s="22"/>
      <c r="AKN1" s="22"/>
      <c r="AKO1" s="22"/>
      <c r="AKP1" s="22"/>
      <c r="AKQ1" s="22"/>
      <c r="AKR1" s="22"/>
      <c r="AKS1" s="22"/>
      <c r="AKT1" s="22"/>
      <c r="AKU1" s="22"/>
      <c r="AKV1" s="22"/>
      <c r="AKW1" s="22"/>
      <c r="AKX1" s="22"/>
      <c r="AKY1" s="22"/>
      <c r="AKZ1" s="22"/>
      <c r="ALA1" s="22"/>
      <c r="ALB1" s="22"/>
      <c r="ALC1" s="22"/>
      <c r="ALD1" s="22"/>
      <c r="ALE1" s="22"/>
      <c r="ALF1" s="22"/>
      <c r="ALG1" s="22"/>
      <c r="ALH1" s="22"/>
      <c r="ALI1" s="22"/>
      <c r="ALJ1" s="22"/>
      <c r="ALK1" s="22"/>
      <c r="ALL1" s="22"/>
      <c r="ALM1" s="22"/>
      <c r="ALN1" s="22"/>
      <c r="ALO1" s="22"/>
      <c r="ALP1" s="22"/>
      <c r="ALQ1" s="22"/>
      <c r="ALR1" s="22"/>
      <c r="ALS1" s="22"/>
      <c r="ALT1" s="22"/>
      <c r="ALU1" s="22"/>
      <c r="ALV1" s="22"/>
      <c r="ALW1" s="22"/>
      <c r="ALX1" s="22"/>
      <c r="ALY1" s="22"/>
      <c r="ALZ1" s="22"/>
      <c r="AMA1" s="22"/>
      <c r="AMB1" s="22"/>
      <c r="AMC1" s="22"/>
      <c r="AMD1" s="22"/>
      <c r="AME1" s="22"/>
      <c r="AMF1" s="22"/>
      <c r="AMG1" s="22"/>
      <c r="AMH1" s="22"/>
      <c r="AMI1" s="22"/>
      <c r="AMJ1" s="22"/>
      <c r="AMK1" s="22"/>
    </row>
    <row r="2" spans="1:1025" ht="31.5" x14ac:dyDescent="0.25">
      <c r="A2" s="72" t="s">
        <v>35</v>
      </c>
      <c r="B2" s="23" t="s">
        <v>36</v>
      </c>
      <c r="C2" s="24" t="s">
        <v>34</v>
      </c>
      <c r="D2" s="25">
        <v>1</v>
      </c>
      <c r="E2" s="25">
        <v>720</v>
      </c>
      <c r="F2" s="25">
        <f>E2*D2</f>
        <v>720</v>
      </c>
      <c r="G2" s="25"/>
      <c r="H2" s="25"/>
      <c r="I2" s="25">
        <v>12</v>
      </c>
      <c r="J2" s="25">
        <f t="shared" ref="J2:J13" si="0">E2/I2</f>
        <v>60</v>
      </c>
      <c r="K2" s="26">
        <v>7.53</v>
      </c>
      <c r="L2" s="26">
        <f>K2+17/O2</f>
        <v>7.7566666666666668</v>
      </c>
      <c r="M2" s="26">
        <f>K2*E2</f>
        <v>5421.6</v>
      </c>
      <c r="N2" s="27">
        <f>D2*E2*0.94</f>
        <v>676.8</v>
      </c>
      <c r="O2" s="23">
        <v>75</v>
      </c>
      <c r="P2" s="28">
        <f>K2*O2</f>
        <v>564.75</v>
      </c>
      <c r="Q2" s="28">
        <f t="shared" ref="Q2:Q7" si="1">$Q$19/$M$17*M2</f>
        <v>406620</v>
      </c>
      <c r="R2" s="28">
        <f t="shared" ref="R2:R7" si="2">$R$19/$M$17*M2</f>
        <v>138659.84654731461</v>
      </c>
      <c r="S2" s="28">
        <f t="shared" ref="S2:S7" si="3">$S$19/$N$17*N2</f>
        <v>54287.577437235079</v>
      </c>
      <c r="T2" s="28">
        <f t="shared" ref="T2:T7" si="4">$T$19/$N$17*N2</f>
        <v>1613.9550048907724</v>
      </c>
      <c r="U2" s="28">
        <f t="shared" ref="U2:U7" si="5">Q2+R2+S2+T2</f>
        <v>601181.37898944051</v>
      </c>
      <c r="V2" s="29">
        <f>IFERROR(SUM(U2/E2),"")</f>
        <v>834.97413748533404</v>
      </c>
      <c r="W2" s="65">
        <f t="shared" ref="W2:W7" si="6">P2*($U$19 / $Q$17)</f>
        <v>868.50610323180649</v>
      </c>
      <c r="X2" s="30">
        <v>955</v>
      </c>
      <c r="Y2" s="31">
        <f>IFERROR((X2-V2)/V2,"")</f>
        <v>0.14374800023883874</v>
      </c>
      <c r="Z2" s="66">
        <f>(X2-W2)/W2</f>
        <v>9.9589279161470742E-2</v>
      </c>
      <c r="AA2" s="32">
        <f t="shared" ref="AA2:AA7" si="7">X2*E2</f>
        <v>687600</v>
      </c>
      <c r="AB2" s="32">
        <f t="shared" ref="AB2:AB7" si="8">IFERROR(V2*E2,"")</f>
        <v>601181.37898944051</v>
      </c>
      <c r="AC2" s="64">
        <f>W2*E2</f>
        <v>625324.39432690071</v>
      </c>
      <c r="AD2" s="21"/>
      <c r="AE2" s="21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  <c r="OS2" s="22"/>
      <c r="OT2" s="22"/>
      <c r="OU2" s="22"/>
      <c r="OV2" s="22"/>
      <c r="OW2" s="22"/>
      <c r="OX2" s="22"/>
      <c r="OY2" s="22"/>
      <c r="OZ2" s="22"/>
      <c r="PA2" s="22"/>
      <c r="PB2" s="22"/>
      <c r="PC2" s="22"/>
      <c r="PD2" s="22"/>
      <c r="PE2" s="22"/>
      <c r="PF2" s="22"/>
      <c r="PG2" s="22"/>
      <c r="PH2" s="22"/>
      <c r="PI2" s="22"/>
      <c r="PJ2" s="22"/>
      <c r="PK2" s="22"/>
      <c r="PL2" s="22"/>
      <c r="PM2" s="22"/>
      <c r="PN2" s="22"/>
      <c r="PO2" s="22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  <c r="QE2" s="22"/>
      <c r="QF2" s="22"/>
      <c r="QG2" s="22"/>
      <c r="QH2" s="22"/>
      <c r="QI2" s="22"/>
      <c r="QJ2" s="22"/>
      <c r="QK2" s="22"/>
      <c r="QL2" s="22"/>
      <c r="QM2" s="22"/>
      <c r="QN2" s="22"/>
      <c r="QO2" s="22"/>
      <c r="QP2" s="22"/>
      <c r="QQ2" s="22"/>
      <c r="QR2" s="22"/>
      <c r="QS2" s="22"/>
      <c r="QT2" s="22"/>
      <c r="QU2" s="22"/>
      <c r="QV2" s="22"/>
      <c r="QW2" s="22"/>
      <c r="QX2" s="22"/>
      <c r="QY2" s="22"/>
      <c r="QZ2" s="22"/>
      <c r="RA2" s="22"/>
      <c r="RB2" s="22"/>
      <c r="RC2" s="22"/>
      <c r="RD2" s="22"/>
      <c r="RE2" s="22"/>
      <c r="RF2" s="22"/>
      <c r="RG2" s="22"/>
      <c r="RH2" s="22"/>
      <c r="RI2" s="22"/>
      <c r="RJ2" s="22"/>
      <c r="RK2" s="22"/>
      <c r="RL2" s="22"/>
      <c r="RM2" s="22"/>
      <c r="RN2" s="22"/>
      <c r="RO2" s="22"/>
      <c r="RP2" s="22"/>
      <c r="RQ2" s="22"/>
      <c r="RR2" s="22"/>
      <c r="RS2" s="22"/>
      <c r="RT2" s="22"/>
      <c r="RU2" s="22"/>
      <c r="RV2" s="22"/>
      <c r="RW2" s="22"/>
      <c r="RX2" s="22"/>
      <c r="RY2" s="22"/>
      <c r="RZ2" s="22"/>
      <c r="SA2" s="22"/>
      <c r="SB2" s="22"/>
      <c r="SC2" s="22"/>
      <c r="SD2" s="22"/>
      <c r="SE2" s="22"/>
      <c r="SF2" s="22"/>
      <c r="SG2" s="22"/>
      <c r="SH2" s="22"/>
      <c r="SI2" s="22"/>
      <c r="SJ2" s="22"/>
      <c r="SK2" s="22"/>
      <c r="SL2" s="22"/>
      <c r="SM2" s="22"/>
      <c r="SN2" s="22"/>
      <c r="SO2" s="22"/>
      <c r="SP2" s="22"/>
      <c r="SQ2" s="22"/>
      <c r="SR2" s="22"/>
      <c r="SS2" s="22"/>
      <c r="ST2" s="22"/>
      <c r="SU2" s="22"/>
      <c r="SV2" s="22"/>
      <c r="SW2" s="22"/>
      <c r="SX2" s="22"/>
      <c r="SY2" s="22"/>
      <c r="SZ2" s="22"/>
      <c r="TA2" s="22"/>
      <c r="TB2" s="22"/>
      <c r="TC2" s="22"/>
      <c r="TD2" s="22"/>
      <c r="TE2" s="22"/>
      <c r="TF2" s="22"/>
      <c r="TG2" s="22"/>
      <c r="TH2" s="22"/>
      <c r="TI2" s="22"/>
      <c r="TJ2" s="22"/>
      <c r="TK2" s="22"/>
      <c r="TL2" s="22"/>
      <c r="TM2" s="22"/>
      <c r="TN2" s="22"/>
      <c r="TO2" s="22"/>
      <c r="TP2" s="22"/>
      <c r="TQ2" s="22"/>
      <c r="TR2" s="22"/>
      <c r="TS2" s="22"/>
      <c r="TT2" s="22"/>
      <c r="TU2" s="22"/>
      <c r="TV2" s="22"/>
      <c r="TW2" s="22"/>
      <c r="TX2" s="22"/>
      <c r="TY2" s="22"/>
      <c r="TZ2" s="22"/>
      <c r="UA2" s="22"/>
      <c r="UB2" s="22"/>
      <c r="UC2" s="22"/>
      <c r="UD2" s="22"/>
      <c r="UE2" s="22"/>
      <c r="UF2" s="22"/>
      <c r="UG2" s="22"/>
      <c r="UH2" s="22"/>
      <c r="UI2" s="22"/>
      <c r="UJ2" s="22"/>
      <c r="UK2" s="22"/>
      <c r="UL2" s="22"/>
      <c r="UM2" s="22"/>
      <c r="UN2" s="22"/>
      <c r="UO2" s="22"/>
      <c r="UP2" s="22"/>
      <c r="UQ2" s="22"/>
      <c r="UR2" s="22"/>
      <c r="US2" s="22"/>
      <c r="UT2" s="22"/>
      <c r="UU2" s="22"/>
      <c r="UV2" s="22"/>
      <c r="UW2" s="22"/>
      <c r="UX2" s="22"/>
      <c r="UY2" s="22"/>
      <c r="UZ2" s="22"/>
      <c r="VA2" s="22"/>
      <c r="VB2" s="22"/>
      <c r="VC2" s="22"/>
      <c r="VD2" s="22"/>
      <c r="VE2" s="22"/>
      <c r="VF2" s="22"/>
      <c r="VG2" s="22"/>
      <c r="VH2" s="22"/>
      <c r="VI2" s="22"/>
      <c r="VJ2" s="22"/>
      <c r="VK2" s="22"/>
      <c r="VL2" s="22"/>
      <c r="VM2" s="22"/>
      <c r="VN2" s="22"/>
      <c r="VO2" s="22"/>
      <c r="VP2" s="22"/>
      <c r="VQ2" s="22"/>
      <c r="VR2" s="22"/>
      <c r="VS2" s="22"/>
      <c r="VT2" s="22"/>
      <c r="VU2" s="22"/>
      <c r="VV2" s="22"/>
      <c r="VW2" s="22"/>
      <c r="VX2" s="22"/>
      <c r="VY2" s="22"/>
      <c r="VZ2" s="22"/>
      <c r="WA2" s="22"/>
      <c r="WB2" s="22"/>
      <c r="WC2" s="22"/>
      <c r="WD2" s="22"/>
      <c r="WE2" s="22"/>
      <c r="WF2" s="22"/>
      <c r="WG2" s="22"/>
      <c r="WH2" s="22"/>
      <c r="WI2" s="22"/>
      <c r="WJ2" s="22"/>
      <c r="WK2" s="22"/>
      <c r="WL2" s="22"/>
      <c r="WM2" s="22"/>
      <c r="WN2" s="22"/>
      <c r="WO2" s="22"/>
      <c r="WP2" s="22"/>
      <c r="WQ2" s="22"/>
      <c r="WR2" s="22"/>
      <c r="WS2" s="22"/>
      <c r="WT2" s="22"/>
      <c r="WU2" s="22"/>
      <c r="WV2" s="22"/>
      <c r="WW2" s="22"/>
      <c r="WX2" s="22"/>
      <c r="WY2" s="22"/>
      <c r="WZ2" s="22"/>
      <c r="XA2" s="22"/>
      <c r="XB2" s="22"/>
      <c r="XC2" s="22"/>
      <c r="XD2" s="22"/>
      <c r="XE2" s="22"/>
      <c r="XF2" s="22"/>
      <c r="XG2" s="22"/>
      <c r="XH2" s="22"/>
      <c r="XI2" s="22"/>
      <c r="XJ2" s="22"/>
      <c r="XK2" s="22"/>
      <c r="XL2" s="22"/>
      <c r="XM2" s="22"/>
      <c r="XN2" s="22"/>
      <c r="XO2" s="22"/>
      <c r="XP2" s="22"/>
      <c r="XQ2" s="22"/>
      <c r="XR2" s="22"/>
      <c r="XS2" s="22"/>
      <c r="XT2" s="22"/>
      <c r="XU2" s="22"/>
      <c r="XV2" s="22"/>
      <c r="XW2" s="22"/>
      <c r="XX2" s="22"/>
      <c r="XY2" s="22"/>
      <c r="XZ2" s="22"/>
      <c r="YA2" s="22"/>
      <c r="YB2" s="22"/>
      <c r="YC2" s="22"/>
      <c r="YD2" s="22"/>
      <c r="YE2" s="22"/>
      <c r="YF2" s="22"/>
      <c r="YG2" s="22"/>
      <c r="YH2" s="22"/>
      <c r="YI2" s="22"/>
      <c r="YJ2" s="22"/>
      <c r="YK2" s="22"/>
      <c r="YL2" s="22"/>
      <c r="YM2" s="22"/>
      <c r="YN2" s="22"/>
      <c r="YO2" s="22"/>
      <c r="YP2" s="22"/>
      <c r="YQ2" s="22"/>
      <c r="YR2" s="22"/>
      <c r="YS2" s="22"/>
      <c r="YT2" s="22"/>
      <c r="YU2" s="22"/>
      <c r="YV2" s="22"/>
      <c r="YW2" s="22"/>
      <c r="YX2" s="22"/>
      <c r="YY2" s="22"/>
      <c r="YZ2" s="22"/>
      <c r="ZA2" s="22"/>
      <c r="ZB2" s="22"/>
      <c r="ZC2" s="22"/>
      <c r="ZD2" s="22"/>
      <c r="ZE2" s="22"/>
      <c r="ZF2" s="22"/>
      <c r="ZG2" s="22"/>
      <c r="ZH2" s="22"/>
      <c r="ZI2" s="22"/>
      <c r="ZJ2" s="22"/>
      <c r="ZK2" s="22"/>
      <c r="ZL2" s="22"/>
      <c r="ZM2" s="22"/>
      <c r="ZN2" s="22"/>
      <c r="ZO2" s="22"/>
      <c r="ZP2" s="22"/>
      <c r="ZQ2" s="22"/>
      <c r="ZR2" s="22"/>
      <c r="ZS2" s="22"/>
      <c r="ZT2" s="22"/>
      <c r="ZU2" s="22"/>
      <c r="ZV2" s="22"/>
      <c r="ZW2" s="22"/>
      <c r="ZX2" s="22"/>
      <c r="ZY2" s="22"/>
      <c r="ZZ2" s="22"/>
      <c r="AAA2" s="22"/>
      <c r="AAB2" s="22"/>
      <c r="AAC2" s="22"/>
      <c r="AAD2" s="22"/>
      <c r="AAE2" s="22"/>
      <c r="AAF2" s="22"/>
      <c r="AAG2" s="22"/>
      <c r="AAH2" s="22"/>
      <c r="AAI2" s="22"/>
      <c r="AAJ2" s="22"/>
      <c r="AAK2" s="22"/>
      <c r="AAL2" s="22"/>
      <c r="AAM2" s="22"/>
      <c r="AAN2" s="22"/>
      <c r="AAO2" s="22"/>
      <c r="AAP2" s="22"/>
      <c r="AAQ2" s="22"/>
      <c r="AAR2" s="22"/>
      <c r="AAS2" s="22"/>
      <c r="AAT2" s="22"/>
      <c r="AAU2" s="22"/>
      <c r="AAV2" s="22"/>
      <c r="AAW2" s="22"/>
      <c r="AAX2" s="22"/>
      <c r="AAY2" s="22"/>
      <c r="AAZ2" s="22"/>
      <c r="ABA2" s="22"/>
      <c r="ABB2" s="22"/>
      <c r="ABC2" s="22"/>
      <c r="ABD2" s="22"/>
      <c r="ABE2" s="22"/>
      <c r="ABF2" s="22"/>
      <c r="ABG2" s="22"/>
      <c r="ABH2" s="22"/>
      <c r="ABI2" s="22"/>
      <c r="ABJ2" s="22"/>
      <c r="ABK2" s="22"/>
      <c r="ABL2" s="22"/>
      <c r="ABM2" s="22"/>
      <c r="ABN2" s="22"/>
      <c r="ABO2" s="22"/>
      <c r="ABP2" s="22"/>
      <c r="ABQ2" s="22"/>
      <c r="ABR2" s="22"/>
      <c r="ABS2" s="22"/>
      <c r="ABT2" s="22"/>
      <c r="ABU2" s="22"/>
      <c r="ABV2" s="22"/>
      <c r="ABW2" s="22"/>
      <c r="ABX2" s="22"/>
      <c r="ABY2" s="22"/>
      <c r="ABZ2" s="22"/>
      <c r="ACA2" s="22"/>
      <c r="ACB2" s="22"/>
      <c r="ACC2" s="22"/>
      <c r="ACD2" s="22"/>
      <c r="ACE2" s="22"/>
      <c r="ACF2" s="22"/>
      <c r="ACG2" s="22"/>
      <c r="ACH2" s="22"/>
      <c r="ACI2" s="22"/>
      <c r="ACJ2" s="22"/>
      <c r="ACK2" s="22"/>
      <c r="ACL2" s="22"/>
      <c r="ACM2" s="22"/>
      <c r="ACN2" s="22"/>
      <c r="ACO2" s="22"/>
      <c r="ACP2" s="22"/>
      <c r="ACQ2" s="22"/>
      <c r="ACR2" s="22"/>
      <c r="ACS2" s="22"/>
      <c r="ACT2" s="22"/>
      <c r="ACU2" s="22"/>
      <c r="ACV2" s="22"/>
      <c r="ACW2" s="22"/>
      <c r="ACX2" s="22"/>
      <c r="ACY2" s="22"/>
      <c r="ACZ2" s="22"/>
      <c r="ADA2" s="22"/>
      <c r="ADB2" s="22"/>
      <c r="ADC2" s="22"/>
      <c r="ADD2" s="22"/>
      <c r="ADE2" s="22"/>
      <c r="ADF2" s="22"/>
      <c r="ADG2" s="22"/>
      <c r="ADH2" s="22"/>
      <c r="ADI2" s="22"/>
      <c r="ADJ2" s="22"/>
      <c r="ADK2" s="22"/>
      <c r="ADL2" s="22"/>
      <c r="ADM2" s="22"/>
      <c r="ADN2" s="22"/>
      <c r="ADO2" s="22"/>
      <c r="ADP2" s="22"/>
      <c r="ADQ2" s="22"/>
      <c r="ADR2" s="22"/>
      <c r="ADS2" s="22"/>
      <c r="ADT2" s="22"/>
      <c r="ADU2" s="22"/>
      <c r="ADV2" s="22"/>
      <c r="ADW2" s="22"/>
      <c r="ADX2" s="22"/>
      <c r="ADY2" s="22"/>
      <c r="ADZ2" s="22"/>
      <c r="AEA2" s="22"/>
      <c r="AEB2" s="22"/>
      <c r="AEC2" s="22"/>
      <c r="AED2" s="22"/>
      <c r="AEE2" s="22"/>
      <c r="AEF2" s="22"/>
      <c r="AEG2" s="22"/>
      <c r="AEH2" s="22"/>
      <c r="AEI2" s="22"/>
      <c r="AEJ2" s="22"/>
      <c r="AEK2" s="22"/>
      <c r="AEL2" s="22"/>
      <c r="AEM2" s="22"/>
      <c r="AEN2" s="22"/>
      <c r="AEO2" s="22"/>
      <c r="AEP2" s="22"/>
      <c r="AEQ2" s="22"/>
      <c r="AER2" s="22"/>
      <c r="AES2" s="22"/>
      <c r="AET2" s="22"/>
      <c r="AEU2" s="22"/>
      <c r="AEV2" s="22"/>
      <c r="AEW2" s="22"/>
      <c r="AEX2" s="22"/>
      <c r="AEY2" s="22"/>
      <c r="AEZ2" s="22"/>
      <c r="AFA2" s="22"/>
      <c r="AFB2" s="22"/>
      <c r="AFC2" s="22"/>
      <c r="AFD2" s="22"/>
      <c r="AFE2" s="22"/>
      <c r="AFF2" s="22"/>
      <c r="AFG2" s="22"/>
      <c r="AFH2" s="22"/>
      <c r="AFI2" s="22"/>
      <c r="AFJ2" s="22"/>
      <c r="AFK2" s="22"/>
      <c r="AFL2" s="22"/>
      <c r="AFM2" s="22"/>
      <c r="AFN2" s="22"/>
      <c r="AFO2" s="22"/>
      <c r="AFP2" s="22"/>
      <c r="AFQ2" s="22"/>
      <c r="AFR2" s="22"/>
      <c r="AFS2" s="22"/>
      <c r="AFT2" s="22"/>
      <c r="AFU2" s="22"/>
      <c r="AFV2" s="22"/>
      <c r="AFW2" s="22"/>
      <c r="AFX2" s="22"/>
      <c r="AFY2" s="22"/>
      <c r="AFZ2" s="22"/>
      <c r="AGA2" s="22"/>
      <c r="AGB2" s="22"/>
      <c r="AGC2" s="22"/>
      <c r="AGD2" s="22"/>
      <c r="AGE2" s="22"/>
      <c r="AGF2" s="22"/>
      <c r="AGG2" s="22"/>
      <c r="AGH2" s="22"/>
      <c r="AGI2" s="22"/>
      <c r="AGJ2" s="22"/>
      <c r="AGK2" s="22"/>
      <c r="AGL2" s="22"/>
      <c r="AGM2" s="22"/>
      <c r="AGN2" s="22"/>
      <c r="AGO2" s="22"/>
      <c r="AGP2" s="22"/>
      <c r="AGQ2" s="22"/>
      <c r="AGR2" s="22"/>
      <c r="AGS2" s="22"/>
      <c r="AGT2" s="22"/>
      <c r="AGU2" s="22"/>
      <c r="AGV2" s="22"/>
      <c r="AGW2" s="22"/>
      <c r="AGX2" s="22"/>
      <c r="AGY2" s="22"/>
      <c r="AGZ2" s="22"/>
      <c r="AHA2" s="22"/>
      <c r="AHB2" s="22"/>
      <c r="AHC2" s="22"/>
      <c r="AHD2" s="22"/>
      <c r="AHE2" s="22"/>
      <c r="AHF2" s="22"/>
      <c r="AHG2" s="22"/>
      <c r="AHH2" s="22"/>
      <c r="AHI2" s="22"/>
      <c r="AHJ2" s="22"/>
      <c r="AHK2" s="22"/>
      <c r="AHL2" s="22"/>
      <c r="AHM2" s="22"/>
      <c r="AHN2" s="22"/>
      <c r="AHO2" s="22"/>
      <c r="AHP2" s="22"/>
      <c r="AHQ2" s="22"/>
      <c r="AHR2" s="22"/>
      <c r="AHS2" s="22"/>
      <c r="AHT2" s="22"/>
      <c r="AHU2" s="22"/>
      <c r="AHV2" s="22"/>
      <c r="AHW2" s="22"/>
      <c r="AHX2" s="22"/>
      <c r="AHY2" s="22"/>
      <c r="AHZ2" s="22"/>
      <c r="AIA2" s="22"/>
      <c r="AIB2" s="22"/>
      <c r="AIC2" s="22"/>
      <c r="AID2" s="22"/>
      <c r="AIE2" s="22"/>
      <c r="AIF2" s="22"/>
      <c r="AIG2" s="22"/>
      <c r="AIH2" s="22"/>
      <c r="AII2" s="22"/>
      <c r="AIJ2" s="22"/>
      <c r="AIK2" s="22"/>
      <c r="AIL2" s="22"/>
      <c r="AIM2" s="22"/>
      <c r="AIN2" s="22"/>
      <c r="AIO2" s="22"/>
      <c r="AIP2" s="22"/>
      <c r="AIQ2" s="22"/>
      <c r="AIR2" s="22"/>
      <c r="AIS2" s="22"/>
      <c r="AIT2" s="22"/>
      <c r="AIU2" s="22"/>
      <c r="AIV2" s="22"/>
      <c r="AIW2" s="22"/>
      <c r="AIX2" s="22"/>
      <c r="AIY2" s="22"/>
      <c r="AIZ2" s="22"/>
      <c r="AJA2" s="22"/>
      <c r="AJB2" s="22"/>
      <c r="AJC2" s="22"/>
      <c r="AJD2" s="22"/>
      <c r="AJE2" s="22"/>
      <c r="AJF2" s="22"/>
      <c r="AJG2" s="22"/>
      <c r="AJH2" s="22"/>
      <c r="AJI2" s="22"/>
      <c r="AJJ2" s="22"/>
      <c r="AJK2" s="22"/>
      <c r="AJL2" s="22"/>
      <c r="AJM2" s="22"/>
      <c r="AJN2" s="22"/>
      <c r="AJO2" s="22"/>
      <c r="AJP2" s="22"/>
      <c r="AJQ2" s="22"/>
      <c r="AJR2" s="22"/>
      <c r="AJS2" s="22"/>
      <c r="AJT2" s="22"/>
      <c r="AJU2" s="22"/>
      <c r="AJV2" s="22"/>
      <c r="AJW2" s="22"/>
      <c r="AJX2" s="22"/>
      <c r="AJY2" s="22"/>
      <c r="AJZ2" s="22"/>
      <c r="AKA2" s="22"/>
      <c r="AKB2" s="22"/>
      <c r="AKC2" s="22"/>
      <c r="AKD2" s="22"/>
      <c r="AKE2" s="22"/>
      <c r="AKF2" s="22"/>
      <c r="AKG2" s="22"/>
      <c r="AKH2" s="22"/>
      <c r="AKI2" s="22"/>
      <c r="AKJ2" s="22"/>
      <c r="AKK2" s="22"/>
      <c r="AKL2" s="22"/>
      <c r="AKM2" s="22"/>
      <c r="AKN2" s="22"/>
      <c r="AKO2" s="22"/>
      <c r="AKP2" s="22"/>
      <c r="AKQ2" s="22"/>
      <c r="AKR2" s="22"/>
      <c r="AKS2" s="22"/>
      <c r="AKT2" s="22"/>
      <c r="AKU2" s="22"/>
      <c r="AKV2" s="22"/>
      <c r="AKW2" s="22"/>
      <c r="AKX2" s="22"/>
      <c r="AKY2" s="22"/>
      <c r="AKZ2" s="22"/>
      <c r="ALA2" s="22"/>
      <c r="ALB2" s="22"/>
      <c r="ALC2" s="22"/>
      <c r="ALD2" s="22"/>
      <c r="ALE2" s="22"/>
      <c r="ALF2" s="22"/>
      <c r="ALG2" s="22"/>
      <c r="ALH2" s="22"/>
      <c r="ALI2" s="22"/>
      <c r="ALJ2" s="22"/>
      <c r="ALK2" s="22"/>
      <c r="ALL2" s="22"/>
      <c r="ALM2" s="22"/>
      <c r="ALN2" s="22"/>
      <c r="ALO2" s="22"/>
      <c r="ALP2" s="22"/>
      <c r="ALQ2" s="22"/>
      <c r="ALR2" s="22"/>
      <c r="ALS2" s="22"/>
      <c r="ALT2" s="22"/>
      <c r="ALU2" s="22"/>
      <c r="ALV2" s="22"/>
      <c r="ALW2" s="22"/>
      <c r="ALX2" s="22"/>
      <c r="ALY2" s="22"/>
      <c r="ALZ2" s="22"/>
      <c r="AMA2" s="22"/>
      <c r="AMB2" s="22"/>
      <c r="AMC2" s="22"/>
      <c r="AMD2" s="22"/>
      <c r="AME2" s="22"/>
      <c r="AMF2" s="22"/>
      <c r="AMG2" s="22"/>
      <c r="AMH2" s="22"/>
      <c r="AMI2" s="22"/>
      <c r="AMJ2" s="22"/>
      <c r="AMK2" s="22"/>
    </row>
    <row r="3" spans="1:1025" ht="31.5" x14ac:dyDescent="0.25">
      <c r="A3" s="72" t="s">
        <v>33</v>
      </c>
      <c r="B3" s="23" t="s">
        <v>36</v>
      </c>
      <c r="C3" s="24" t="s">
        <v>37</v>
      </c>
      <c r="D3" s="25">
        <v>5</v>
      </c>
      <c r="E3" s="25">
        <f>720-240-120</f>
        <v>360</v>
      </c>
      <c r="F3" s="25">
        <f t="shared" ref="F3:F8" si="9">E3*D3</f>
        <v>1800</v>
      </c>
      <c r="G3" s="25"/>
      <c r="H3" s="25"/>
      <c r="I3" s="25">
        <v>3</v>
      </c>
      <c r="J3" s="25">
        <f t="shared" si="0"/>
        <v>120</v>
      </c>
      <c r="K3" s="26">
        <v>35.93</v>
      </c>
      <c r="L3" s="26">
        <f>K3+17/O3</f>
        <v>36.156666666666666</v>
      </c>
      <c r="M3" s="26">
        <f t="shared" ref="M3:M7" si="10">K3*E3</f>
        <v>12934.8</v>
      </c>
      <c r="N3" s="27">
        <f t="shared" ref="N3:N13" si="11">D3*E3*0.94</f>
        <v>1692</v>
      </c>
      <c r="O3" s="23">
        <v>75</v>
      </c>
      <c r="P3" s="28">
        <f t="shared" ref="P3:P6" si="12">K3*O3</f>
        <v>2694.75</v>
      </c>
      <c r="Q3" s="28">
        <f t="shared" si="1"/>
        <v>970110</v>
      </c>
      <c r="R3" s="28">
        <f t="shared" si="2"/>
        <v>330813.29923273658</v>
      </c>
      <c r="S3" s="28">
        <f t="shared" si="3"/>
        <v>135718.94359308772</v>
      </c>
      <c r="T3" s="28">
        <f t="shared" si="4"/>
        <v>4034.8875122269314</v>
      </c>
      <c r="U3" s="28">
        <f t="shared" ref="U3" si="13">Q3+R3+S3+T3</f>
        <v>1440677.1303380511</v>
      </c>
      <c r="V3" s="29">
        <f t="shared" ref="V3" si="14">IFERROR(SUM(U3/E3),"")</f>
        <v>4001.8809176056975</v>
      </c>
      <c r="W3" s="65">
        <f t="shared" si="6"/>
        <v>4144.1466519414089</v>
      </c>
      <c r="X3" s="30">
        <v>4750</v>
      </c>
      <c r="Y3" s="31">
        <f>IFERROR((X3-V3)/V3,"")</f>
        <v>0.186941865037278</v>
      </c>
      <c r="Z3" s="66">
        <f t="shared" ref="Z3:Z6" si="15">(X3-W3)/W3</f>
        <v>0.14619495856276393</v>
      </c>
      <c r="AA3" s="32">
        <f t="shared" si="7"/>
        <v>1710000</v>
      </c>
      <c r="AB3" s="32">
        <f t="shared" si="8"/>
        <v>1440677.1303380511</v>
      </c>
      <c r="AC3" s="64">
        <f t="shared" ref="AC3:AC7" si="16">W3*E3</f>
        <v>1491892.7946989073</v>
      </c>
      <c r="AD3" s="21"/>
      <c r="AE3" s="21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  <c r="AME3" s="22"/>
      <c r="AMF3" s="22"/>
      <c r="AMG3" s="22"/>
      <c r="AMH3" s="22"/>
      <c r="AMI3" s="22"/>
      <c r="AMJ3" s="22"/>
      <c r="AMK3" s="22"/>
    </row>
    <row r="4" spans="1:1025" ht="30" customHeight="1" x14ac:dyDescent="0.25">
      <c r="A4" s="72" t="s">
        <v>31</v>
      </c>
      <c r="B4" s="23" t="s">
        <v>36</v>
      </c>
      <c r="C4" s="24" t="s">
        <v>38</v>
      </c>
      <c r="D4" s="25">
        <v>5</v>
      </c>
      <c r="E4" s="25">
        <f>720-120</f>
        <v>600</v>
      </c>
      <c r="F4" s="25">
        <f t="shared" si="9"/>
        <v>3000</v>
      </c>
      <c r="G4" s="25"/>
      <c r="H4" s="25"/>
      <c r="I4" s="25">
        <v>3</v>
      </c>
      <c r="J4" s="25">
        <f t="shared" si="0"/>
        <v>200</v>
      </c>
      <c r="K4" s="26">
        <v>28.94</v>
      </c>
      <c r="L4" s="26">
        <f t="shared" ref="L4:L7" si="17">K4+17/O4</f>
        <v>29.166666666666668</v>
      </c>
      <c r="M4" s="26">
        <f t="shared" si="10"/>
        <v>17364</v>
      </c>
      <c r="N4" s="27">
        <f t="shared" si="11"/>
        <v>2820</v>
      </c>
      <c r="O4" s="23">
        <v>75</v>
      </c>
      <c r="P4" s="28">
        <f t="shared" si="12"/>
        <v>2170.5</v>
      </c>
      <c r="Q4" s="28">
        <f t="shared" si="1"/>
        <v>1302300</v>
      </c>
      <c r="R4" s="28">
        <f t="shared" si="2"/>
        <v>444092.0716112532</v>
      </c>
      <c r="S4" s="28">
        <f t="shared" si="3"/>
        <v>226198.23932181287</v>
      </c>
      <c r="T4" s="28">
        <f t="shared" si="4"/>
        <v>6724.8125203782192</v>
      </c>
      <c r="U4" s="28">
        <f t="shared" si="5"/>
        <v>1979315.1234534443</v>
      </c>
      <c r="V4" s="29">
        <f>IFERROR(SUM(U4/E4),"")</f>
        <v>3298.8585390890739</v>
      </c>
      <c r="W4" s="65">
        <f t="shared" si="6"/>
        <v>3337.9238549174611</v>
      </c>
      <c r="X4" s="30">
        <v>4795</v>
      </c>
      <c r="Y4" s="31">
        <f t="shared" ref="Y4:Y7" si="18">IFERROR((X4-V4)/V4,"")</f>
        <v>0.45353307611791721</v>
      </c>
      <c r="Z4" s="66">
        <f t="shared" si="15"/>
        <v>0.43652168485987497</v>
      </c>
      <c r="AA4" s="32">
        <f t="shared" si="7"/>
        <v>2877000</v>
      </c>
      <c r="AB4" s="32">
        <f t="shared" si="8"/>
        <v>1979315.1234534443</v>
      </c>
      <c r="AC4" s="64">
        <f t="shared" si="16"/>
        <v>2002754.3129504765</v>
      </c>
      <c r="AD4" s="21"/>
      <c r="AE4" s="21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  <c r="LO4" s="22"/>
      <c r="LP4" s="22"/>
      <c r="LQ4" s="22"/>
      <c r="LR4" s="22"/>
      <c r="LS4" s="22"/>
      <c r="LT4" s="22"/>
      <c r="LU4" s="22"/>
      <c r="LV4" s="22"/>
      <c r="LW4" s="22"/>
      <c r="LX4" s="22"/>
      <c r="LY4" s="22"/>
      <c r="LZ4" s="22"/>
      <c r="MA4" s="22"/>
      <c r="MB4" s="22"/>
      <c r="MC4" s="22"/>
      <c r="MD4" s="22"/>
      <c r="ME4" s="22"/>
      <c r="MF4" s="22"/>
      <c r="MG4" s="22"/>
      <c r="MH4" s="22"/>
      <c r="MI4" s="22"/>
      <c r="MJ4" s="22"/>
      <c r="MK4" s="22"/>
      <c r="ML4" s="22"/>
      <c r="MM4" s="22"/>
      <c r="MN4" s="22"/>
      <c r="MO4" s="22"/>
      <c r="MP4" s="22"/>
      <c r="MQ4" s="22"/>
      <c r="MR4" s="22"/>
      <c r="MS4" s="22"/>
      <c r="MT4" s="22"/>
      <c r="MU4" s="22"/>
      <c r="MV4" s="22"/>
      <c r="MW4" s="22"/>
      <c r="MX4" s="22"/>
      <c r="MY4" s="22"/>
      <c r="MZ4" s="22"/>
      <c r="NA4" s="22"/>
      <c r="NB4" s="22"/>
      <c r="NC4" s="22"/>
      <c r="ND4" s="22"/>
      <c r="NE4" s="22"/>
      <c r="NF4" s="22"/>
      <c r="NG4" s="22"/>
      <c r="NH4" s="22"/>
      <c r="NI4" s="22"/>
      <c r="NJ4" s="22"/>
      <c r="NK4" s="22"/>
      <c r="NL4" s="22"/>
      <c r="NM4" s="22"/>
      <c r="NN4" s="22"/>
      <c r="NO4" s="22"/>
      <c r="NP4" s="22"/>
      <c r="NQ4" s="22"/>
      <c r="NR4" s="22"/>
      <c r="NS4" s="22"/>
      <c r="NT4" s="22"/>
      <c r="NU4" s="22"/>
      <c r="NV4" s="22"/>
      <c r="NW4" s="22"/>
      <c r="NX4" s="22"/>
      <c r="NY4" s="22"/>
      <c r="NZ4" s="22"/>
      <c r="OA4" s="22"/>
      <c r="OB4" s="22"/>
      <c r="OC4" s="22"/>
      <c r="OD4" s="22"/>
      <c r="OE4" s="22"/>
      <c r="OF4" s="22"/>
      <c r="OG4" s="22"/>
      <c r="OH4" s="22"/>
      <c r="OI4" s="22"/>
      <c r="OJ4" s="22"/>
      <c r="OK4" s="22"/>
      <c r="OL4" s="22"/>
      <c r="OM4" s="22"/>
      <c r="ON4" s="22"/>
      <c r="OO4" s="22"/>
      <c r="OP4" s="22"/>
      <c r="OQ4" s="22"/>
      <c r="OR4" s="22"/>
      <c r="OS4" s="22"/>
      <c r="OT4" s="22"/>
      <c r="OU4" s="22"/>
      <c r="OV4" s="22"/>
      <c r="OW4" s="22"/>
      <c r="OX4" s="22"/>
      <c r="OY4" s="22"/>
      <c r="OZ4" s="22"/>
      <c r="PA4" s="22"/>
      <c r="PB4" s="22"/>
      <c r="PC4" s="22"/>
      <c r="PD4" s="22"/>
      <c r="PE4" s="22"/>
      <c r="PF4" s="22"/>
      <c r="PG4" s="22"/>
      <c r="PH4" s="22"/>
      <c r="PI4" s="22"/>
      <c r="PJ4" s="22"/>
      <c r="PK4" s="22"/>
      <c r="PL4" s="22"/>
      <c r="PM4" s="22"/>
      <c r="PN4" s="22"/>
      <c r="PO4" s="22"/>
      <c r="PP4" s="22"/>
      <c r="PQ4" s="22"/>
      <c r="PR4" s="22"/>
      <c r="PS4" s="22"/>
      <c r="PT4" s="22"/>
      <c r="PU4" s="22"/>
      <c r="PV4" s="22"/>
      <c r="PW4" s="22"/>
      <c r="PX4" s="22"/>
      <c r="PY4" s="22"/>
      <c r="PZ4" s="22"/>
      <c r="QA4" s="22"/>
      <c r="QB4" s="22"/>
      <c r="QC4" s="22"/>
      <c r="QD4" s="22"/>
      <c r="QE4" s="22"/>
      <c r="QF4" s="22"/>
      <c r="QG4" s="22"/>
      <c r="QH4" s="22"/>
      <c r="QI4" s="22"/>
      <c r="QJ4" s="22"/>
      <c r="QK4" s="22"/>
      <c r="QL4" s="22"/>
      <c r="QM4" s="22"/>
      <c r="QN4" s="22"/>
      <c r="QO4" s="22"/>
      <c r="QP4" s="22"/>
      <c r="QQ4" s="22"/>
      <c r="QR4" s="22"/>
      <c r="QS4" s="22"/>
      <c r="QT4" s="22"/>
      <c r="QU4" s="22"/>
      <c r="QV4" s="22"/>
      <c r="QW4" s="22"/>
      <c r="QX4" s="22"/>
      <c r="QY4" s="22"/>
      <c r="QZ4" s="22"/>
      <c r="RA4" s="22"/>
      <c r="RB4" s="22"/>
      <c r="RC4" s="22"/>
      <c r="RD4" s="22"/>
      <c r="RE4" s="22"/>
      <c r="RF4" s="22"/>
      <c r="RG4" s="22"/>
      <c r="RH4" s="22"/>
      <c r="RI4" s="22"/>
      <c r="RJ4" s="22"/>
      <c r="RK4" s="22"/>
      <c r="RL4" s="22"/>
      <c r="RM4" s="22"/>
      <c r="RN4" s="22"/>
      <c r="RO4" s="22"/>
      <c r="RP4" s="22"/>
      <c r="RQ4" s="22"/>
      <c r="RR4" s="22"/>
      <c r="RS4" s="22"/>
      <c r="RT4" s="22"/>
      <c r="RU4" s="22"/>
      <c r="RV4" s="22"/>
      <c r="RW4" s="22"/>
      <c r="RX4" s="22"/>
      <c r="RY4" s="22"/>
      <c r="RZ4" s="22"/>
      <c r="SA4" s="22"/>
      <c r="SB4" s="22"/>
      <c r="SC4" s="22"/>
      <c r="SD4" s="22"/>
      <c r="SE4" s="22"/>
      <c r="SF4" s="22"/>
      <c r="SG4" s="22"/>
      <c r="SH4" s="22"/>
      <c r="SI4" s="22"/>
      <c r="SJ4" s="22"/>
      <c r="SK4" s="22"/>
      <c r="SL4" s="22"/>
      <c r="SM4" s="22"/>
      <c r="SN4" s="22"/>
      <c r="SO4" s="22"/>
      <c r="SP4" s="22"/>
      <c r="SQ4" s="22"/>
      <c r="SR4" s="22"/>
      <c r="SS4" s="22"/>
      <c r="ST4" s="22"/>
      <c r="SU4" s="22"/>
      <c r="SV4" s="22"/>
      <c r="SW4" s="22"/>
      <c r="SX4" s="22"/>
      <c r="SY4" s="22"/>
      <c r="SZ4" s="22"/>
      <c r="TA4" s="22"/>
      <c r="TB4" s="22"/>
      <c r="TC4" s="22"/>
      <c r="TD4" s="22"/>
      <c r="TE4" s="22"/>
      <c r="TF4" s="22"/>
      <c r="TG4" s="22"/>
      <c r="TH4" s="22"/>
      <c r="TI4" s="22"/>
      <c r="TJ4" s="22"/>
      <c r="TK4" s="22"/>
      <c r="TL4" s="22"/>
      <c r="TM4" s="22"/>
      <c r="TN4" s="22"/>
      <c r="TO4" s="22"/>
      <c r="TP4" s="22"/>
      <c r="TQ4" s="22"/>
      <c r="TR4" s="22"/>
      <c r="TS4" s="22"/>
      <c r="TT4" s="22"/>
      <c r="TU4" s="22"/>
      <c r="TV4" s="22"/>
      <c r="TW4" s="22"/>
      <c r="TX4" s="22"/>
      <c r="TY4" s="22"/>
      <c r="TZ4" s="22"/>
      <c r="UA4" s="22"/>
      <c r="UB4" s="22"/>
      <c r="UC4" s="22"/>
      <c r="UD4" s="22"/>
      <c r="UE4" s="22"/>
      <c r="UF4" s="22"/>
      <c r="UG4" s="22"/>
      <c r="UH4" s="22"/>
      <c r="UI4" s="22"/>
      <c r="UJ4" s="22"/>
      <c r="UK4" s="22"/>
      <c r="UL4" s="22"/>
      <c r="UM4" s="22"/>
      <c r="UN4" s="22"/>
      <c r="UO4" s="22"/>
      <c r="UP4" s="22"/>
      <c r="UQ4" s="22"/>
      <c r="UR4" s="22"/>
      <c r="US4" s="22"/>
      <c r="UT4" s="22"/>
      <c r="UU4" s="22"/>
      <c r="UV4" s="22"/>
      <c r="UW4" s="22"/>
      <c r="UX4" s="22"/>
      <c r="UY4" s="22"/>
      <c r="UZ4" s="22"/>
      <c r="VA4" s="22"/>
      <c r="VB4" s="22"/>
      <c r="VC4" s="22"/>
      <c r="VD4" s="22"/>
      <c r="VE4" s="22"/>
      <c r="VF4" s="22"/>
      <c r="VG4" s="22"/>
      <c r="VH4" s="22"/>
      <c r="VI4" s="22"/>
      <c r="VJ4" s="22"/>
      <c r="VK4" s="22"/>
      <c r="VL4" s="22"/>
      <c r="VM4" s="22"/>
      <c r="VN4" s="22"/>
      <c r="VO4" s="22"/>
      <c r="VP4" s="22"/>
      <c r="VQ4" s="22"/>
      <c r="VR4" s="22"/>
      <c r="VS4" s="22"/>
      <c r="VT4" s="22"/>
      <c r="VU4" s="22"/>
      <c r="VV4" s="22"/>
      <c r="VW4" s="22"/>
      <c r="VX4" s="22"/>
      <c r="VY4" s="22"/>
      <c r="VZ4" s="22"/>
      <c r="WA4" s="22"/>
      <c r="WB4" s="22"/>
      <c r="WC4" s="22"/>
      <c r="WD4" s="22"/>
      <c r="WE4" s="22"/>
      <c r="WF4" s="22"/>
      <c r="WG4" s="22"/>
      <c r="WH4" s="22"/>
      <c r="WI4" s="22"/>
      <c r="WJ4" s="22"/>
      <c r="WK4" s="22"/>
      <c r="WL4" s="22"/>
      <c r="WM4" s="22"/>
      <c r="WN4" s="22"/>
      <c r="WO4" s="22"/>
      <c r="WP4" s="22"/>
      <c r="WQ4" s="22"/>
      <c r="WR4" s="22"/>
      <c r="WS4" s="22"/>
      <c r="WT4" s="22"/>
      <c r="WU4" s="22"/>
      <c r="WV4" s="22"/>
      <c r="WW4" s="22"/>
      <c r="WX4" s="22"/>
      <c r="WY4" s="22"/>
      <c r="WZ4" s="22"/>
      <c r="XA4" s="22"/>
      <c r="XB4" s="22"/>
      <c r="XC4" s="22"/>
      <c r="XD4" s="22"/>
      <c r="XE4" s="22"/>
      <c r="XF4" s="22"/>
      <c r="XG4" s="22"/>
      <c r="XH4" s="22"/>
      <c r="XI4" s="22"/>
      <c r="XJ4" s="22"/>
      <c r="XK4" s="22"/>
      <c r="XL4" s="22"/>
      <c r="XM4" s="22"/>
      <c r="XN4" s="22"/>
      <c r="XO4" s="22"/>
      <c r="XP4" s="22"/>
      <c r="XQ4" s="22"/>
      <c r="XR4" s="22"/>
      <c r="XS4" s="22"/>
      <c r="XT4" s="22"/>
      <c r="XU4" s="22"/>
      <c r="XV4" s="22"/>
      <c r="XW4" s="22"/>
      <c r="XX4" s="22"/>
      <c r="XY4" s="22"/>
      <c r="XZ4" s="22"/>
      <c r="YA4" s="22"/>
      <c r="YB4" s="22"/>
      <c r="YC4" s="22"/>
      <c r="YD4" s="22"/>
      <c r="YE4" s="22"/>
      <c r="YF4" s="22"/>
      <c r="YG4" s="22"/>
      <c r="YH4" s="22"/>
      <c r="YI4" s="22"/>
      <c r="YJ4" s="22"/>
      <c r="YK4" s="22"/>
      <c r="YL4" s="22"/>
      <c r="YM4" s="22"/>
      <c r="YN4" s="22"/>
      <c r="YO4" s="22"/>
      <c r="YP4" s="22"/>
      <c r="YQ4" s="22"/>
      <c r="YR4" s="22"/>
      <c r="YS4" s="22"/>
      <c r="YT4" s="22"/>
      <c r="YU4" s="22"/>
      <c r="YV4" s="22"/>
      <c r="YW4" s="22"/>
      <c r="YX4" s="22"/>
      <c r="YY4" s="22"/>
      <c r="YZ4" s="22"/>
      <c r="ZA4" s="22"/>
      <c r="ZB4" s="22"/>
      <c r="ZC4" s="22"/>
      <c r="ZD4" s="22"/>
      <c r="ZE4" s="22"/>
      <c r="ZF4" s="22"/>
      <c r="ZG4" s="22"/>
      <c r="ZH4" s="22"/>
      <c r="ZI4" s="22"/>
      <c r="ZJ4" s="22"/>
      <c r="ZK4" s="22"/>
      <c r="ZL4" s="22"/>
      <c r="ZM4" s="22"/>
      <c r="ZN4" s="22"/>
      <c r="ZO4" s="22"/>
      <c r="ZP4" s="22"/>
      <c r="ZQ4" s="22"/>
      <c r="ZR4" s="22"/>
      <c r="ZS4" s="22"/>
      <c r="ZT4" s="22"/>
      <c r="ZU4" s="22"/>
      <c r="ZV4" s="22"/>
      <c r="ZW4" s="22"/>
      <c r="ZX4" s="22"/>
      <c r="ZY4" s="22"/>
      <c r="ZZ4" s="22"/>
      <c r="AAA4" s="22"/>
      <c r="AAB4" s="22"/>
      <c r="AAC4" s="22"/>
      <c r="AAD4" s="22"/>
      <c r="AAE4" s="22"/>
      <c r="AAF4" s="22"/>
      <c r="AAG4" s="22"/>
      <c r="AAH4" s="22"/>
      <c r="AAI4" s="22"/>
      <c r="AAJ4" s="22"/>
      <c r="AAK4" s="22"/>
      <c r="AAL4" s="22"/>
      <c r="AAM4" s="22"/>
      <c r="AAN4" s="22"/>
      <c r="AAO4" s="22"/>
      <c r="AAP4" s="22"/>
      <c r="AAQ4" s="22"/>
      <c r="AAR4" s="22"/>
      <c r="AAS4" s="22"/>
      <c r="AAT4" s="22"/>
      <c r="AAU4" s="22"/>
      <c r="AAV4" s="22"/>
      <c r="AAW4" s="22"/>
      <c r="AAX4" s="22"/>
      <c r="AAY4" s="22"/>
      <c r="AAZ4" s="22"/>
      <c r="ABA4" s="22"/>
      <c r="ABB4" s="22"/>
      <c r="ABC4" s="22"/>
      <c r="ABD4" s="22"/>
      <c r="ABE4" s="22"/>
      <c r="ABF4" s="22"/>
      <c r="ABG4" s="22"/>
      <c r="ABH4" s="22"/>
      <c r="ABI4" s="22"/>
      <c r="ABJ4" s="22"/>
      <c r="ABK4" s="22"/>
      <c r="ABL4" s="22"/>
      <c r="ABM4" s="22"/>
      <c r="ABN4" s="22"/>
      <c r="ABO4" s="22"/>
      <c r="ABP4" s="22"/>
      <c r="ABQ4" s="22"/>
      <c r="ABR4" s="22"/>
      <c r="ABS4" s="22"/>
      <c r="ABT4" s="22"/>
      <c r="ABU4" s="22"/>
      <c r="ABV4" s="22"/>
      <c r="ABW4" s="22"/>
      <c r="ABX4" s="22"/>
      <c r="ABY4" s="22"/>
      <c r="ABZ4" s="22"/>
      <c r="ACA4" s="22"/>
      <c r="ACB4" s="22"/>
      <c r="ACC4" s="22"/>
      <c r="ACD4" s="22"/>
      <c r="ACE4" s="22"/>
      <c r="ACF4" s="22"/>
      <c r="ACG4" s="22"/>
      <c r="ACH4" s="22"/>
      <c r="ACI4" s="22"/>
      <c r="ACJ4" s="22"/>
      <c r="ACK4" s="22"/>
      <c r="ACL4" s="22"/>
      <c r="ACM4" s="22"/>
      <c r="ACN4" s="22"/>
      <c r="ACO4" s="22"/>
      <c r="ACP4" s="22"/>
      <c r="ACQ4" s="22"/>
      <c r="ACR4" s="22"/>
      <c r="ACS4" s="22"/>
      <c r="ACT4" s="22"/>
      <c r="ACU4" s="22"/>
      <c r="ACV4" s="22"/>
      <c r="ACW4" s="22"/>
      <c r="ACX4" s="22"/>
      <c r="ACY4" s="22"/>
      <c r="ACZ4" s="22"/>
      <c r="ADA4" s="22"/>
      <c r="ADB4" s="22"/>
      <c r="ADC4" s="22"/>
      <c r="ADD4" s="22"/>
      <c r="ADE4" s="22"/>
      <c r="ADF4" s="22"/>
      <c r="ADG4" s="22"/>
      <c r="ADH4" s="22"/>
      <c r="ADI4" s="22"/>
      <c r="ADJ4" s="22"/>
      <c r="ADK4" s="22"/>
      <c r="ADL4" s="22"/>
      <c r="ADM4" s="22"/>
      <c r="ADN4" s="22"/>
      <c r="ADO4" s="22"/>
      <c r="ADP4" s="22"/>
      <c r="ADQ4" s="22"/>
      <c r="ADR4" s="22"/>
      <c r="ADS4" s="22"/>
      <c r="ADT4" s="22"/>
      <c r="ADU4" s="22"/>
      <c r="ADV4" s="22"/>
      <c r="ADW4" s="22"/>
      <c r="ADX4" s="22"/>
      <c r="ADY4" s="22"/>
      <c r="ADZ4" s="22"/>
      <c r="AEA4" s="22"/>
      <c r="AEB4" s="22"/>
      <c r="AEC4" s="22"/>
      <c r="AED4" s="22"/>
      <c r="AEE4" s="22"/>
      <c r="AEF4" s="22"/>
      <c r="AEG4" s="22"/>
      <c r="AEH4" s="22"/>
      <c r="AEI4" s="22"/>
      <c r="AEJ4" s="22"/>
      <c r="AEK4" s="22"/>
      <c r="AEL4" s="22"/>
      <c r="AEM4" s="22"/>
      <c r="AEN4" s="22"/>
      <c r="AEO4" s="22"/>
      <c r="AEP4" s="22"/>
      <c r="AEQ4" s="22"/>
      <c r="AER4" s="22"/>
      <c r="AES4" s="22"/>
      <c r="AET4" s="22"/>
      <c r="AEU4" s="22"/>
      <c r="AEV4" s="22"/>
      <c r="AEW4" s="22"/>
      <c r="AEX4" s="22"/>
      <c r="AEY4" s="22"/>
      <c r="AEZ4" s="22"/>
      <c r="AFA4" s="22"/>
      <c r="AFB4" s="22"/>
      <c r="AFC4" s="22"/>
      <c r="AFD4" s="22"/>
      <c r="AFE4" s="22"/>
      <c r="AFF4" s="22"/>
      <c r="AFG4" s="22"/>
      <c r="AFH4" s="22"/>
      <c r="AFI4" s="22"/>
      <c r="AFJ4" s="22"/>
      <c r="AFK4" s="22"/>
      <c r="AFL4" s="22"/>
      <c r="AFM4" s="22"/>
      <c r="AFN4" s="22"/>
      <c r="AFO4" s="22"/>
      <c r="AFP4" s="22"/>
      <c r="AFQ4" s="22"/>
      <c r="AFR4" s="22"/>
      <c r="AFS4" s="22"/>
      <c r="AFT4" s="22"/>
      <c r="AFU4" s="22"/>
      <c r="AFV4" s="22"/>
      <c r="AFW4" s="22"/>
      <c r="AFX4" s="22"/>
      <c r="AFY4" s="22"/>
      <c r="AFZ4" s="22"/>
      <c r="AGA4" s="22"/>
      <c r="AGB4" s="22"/>
      <c r="AGC4" s="22"/>
      <c r="AGD4" s="22"/>
      <c r="AGE4" s="22"/>
      <c r="AGF4" s="22"/>
      <c r="AGG4" s="22"/>
      <c r="AGH4" s="22"/>
      <c r="AGI4" s="22"/>
      <c r="AGJ4" s="22"/>
      <c r="AGK4" s="22"/>
      <c r="AGL4" s="22"/>
      <c r="AGM4" s="22"/>
      <c r="AGN4" s="22"/>
      <c r="AGO4" s="22"/>
      <c r="AGP4" s="22"/>
      <c r="AGQ4" s="22"/>
      <c r="AGR4" s="22"/>
      <c r="AGS4" s="22"/>
      <c r="AGT4" s="22"/>
      <c r="AGU4" s="22"/>
      <c r="AGV4" s="22"/>
      <c r="AGW4" s="22"/>
      <c r="AGX4" s="22"/>
      <c r="AGY4" s="22"/>
      <c r="AGZ4" s="22"/>
      <c r="AHA4" s="22"/>
      <c r="AHB4" s="22"/>
      <c r="AHC4" s="22"/>
      <c r="AHD4" s="22"/>
      <c r="AHE4" s="22"/>
      <c r="AHF4" s="22"/>
      <c r="AHG4" s="22"/>
      <c r="AHH4" s="22"/>
      <c r="AHI4" s="22"/>
      <c r="AHJ4" s="22"/>
      <c r="AHK4" s="22"/>
      <c r="AHL4" s="22"/>
      <c r="AHM4" s="22"/>
      <c r="AHN4" s="22"/>
      <c r="AHO4" s="22"/>
      <c r="AHP4" s="22"/>
      <c r="AHQ4" s="22"/>
      <c r="AHR4" s="22"/>
      <c r="AHS4" s="22"/>
      <c r="AHT4" s="22"/>
      <c r="AHU4" s="22"/>
      <c r="AHV4" s="22"/>
      <c r="AHW4" s="22"/>
      <c r="AHX4" s="22"/>
      <c r="AHY4" s="22"/>
      <c r="AHZ4" s="22"/>
      <c r="AIA4" s="22"/>
      <c r="AIB4" s="22"/>
      <c r="AIC4" s="22"/>
      <c r="AID4" s="22"/>
      <c r="AIE4" s="22"/>
      <c r="AIF4" s="22"/>
      <c r="AIG4" s="22"/>
      <c r="AIH4" s="22"/>
      <c r="AII4" s="22"/>
      <c r="AIJ4" s="22"/>
      <c r="AIK4" s="22"/>
      <c r="AIL4" s="22"/>
      <c r="AIM4" s="22"/>
      <c r="AIN4" s="22"/>
      <c r="AIO4" s="22"/>
      <c r="AIP4" s="22"/>
      <c r="AIQ4" s="22"/>
      <c r="AIR4" s="22"/>
      <c r="AIS4" s="22"/>
      <c r="AIT4" s="22"/>
      <c r="AIU4" s="22"/>
      <c r="AIV4" s="22"/>
      <c r="AIW4" s="22"/>
      <c r="AIX4" s="22"/>
      <c r="AIY4" s="22"/>
      <c r="AIZ4" s="22"/>
      <c r="AJA4" s="22"/>
      <c r="AJB4" s="22"/>
      <c r="AJC4" s="22"/>
      <c r="AJD4" s="22"/>
      <c r="AJE4" s="22"/>
      <c r="AJF4" s="22"/>
      <c r="AJG4" s="22"/>
      <c r="AJH4" s="22"/>
      <c r="AJI4" s="22"/>
      <c r="AJJ4" s="22"/>
      <c r="AJK4" s="22"/>
      <c r="AJL4" s="22"/>
      <c r="AJM4" s="22"/>
      <c r="AJN4" s="22"/>
      <c r="AJO4" s="22"/>
      <c r="AJP4" s="22"/>
      <c r="AJQ4" s="22"/>
      <c r="AJR4" s="22"/>
      <c r="AJS4" s="22"/>
      <c r="AJT4" s="22"/>
      <c r="AJU4" s="22"/>
      <c r="AJV4" s="22"/>
      <c r="AJW4" s="22"/>
      <c r="AJX4" s="22"/>
      <c r="AJY4" s="22"/>
      <c r="AJZ4" s="22"/>
      <c r="AKA4" s="22"/>
      <c r="AKB4" s="22"/>
      <c r="AKC4" s="22"/>
      <c r="AKD4" s="22"/>
      <c r="AKE4" s="22"/>
      <c r="AKF4" s="22"/>
      <c r="AKG4" s="22"/>
      <c r="AKH4" s="22"/>
      <c r="AKI4" s="22"/>
      <c r="AKJ4" s="22"/>
      <c r="AKK4" s="22"/>
      <c r="AKL4" s="22"/>
      <c r="AKM4" s="22"/>
      <c r="AKN4" s="22"/>
      <c r="AKO4" s="22"/>
      <c r="AKP4" s="22"/>
      <c r="AKQ4" s="22"/>
      <c r="AKR4" s="22"/>
      <c r="AKS4" s="22"/>
      <c r="AKT4" s="22"/>
      <c r="AKU4" s="22"/>
      <c r="AKV4" s="22"/>
      <c r="AKW4" s="22"/>
      <c r="AKX4" s="22"/>
      <c r="AKY4" s="22"/>
      <c r="AKZ4" s="22"/>
      <c r="ALA4" s="22"/>
      <c r="ALB4" s="22"/>
      <c r="ALC4" s="22"/>
      <c r="ALD4" s="22"/>
      <c r="ALE4" s="22"/>
      <c r="ALF4" s="22"/>
      <c r="ALG4" s="22"/>
      <c r="ALH4" s="22"/>
      <c r="ALI4" s="22"/>
      <c r="ALJ4" s="22"/>
      <c r="ALK4" s="22"/>
      <c r="ALL4" s="22"/>
      <c r="ALM4" s="22"/>
      <c r="ALN4" s="22"/>
      <c r="ALO4" s="22"/>
      <c r="ALP4" s="22"/>
      <c r="ALQ4" s="22"/>
      <c r="ALR4" s="22"/>
      <c r="ALS4" s="22"/>
      <c r="ALT4" s="22"/>
      <c r="ALU4" s="22"/>
      <c r="ALV4" s="22"/>
      <c r="ALW4" s="22"/>
      <c r="ALX4" s="22"/>
      <c r="ALY4" s="22"/>
      <c r="ALZ4" s="22"/>
      <c r="AMA4" s="22"/>
      <c r="AMB4" s="22"/>
      <c r="AMC4" s="22"/>
      <c r="AMD4" s="22"/>
      <c r="AME4" s="22"/>
      <c r="AMF4" s="22"/>
      <c r="AMG4" s="22"/>
      <c r="AMH4" s="22"/>
      <c r="AMI4" s="22"/>
      <c r="AMJ4" s="22"/>
      <c r="AMK4" s="22"/>
    </row>
    <row r="5" spans="1:1025" ht="30" customHeight="1" x14ac:dyDescent="0.25">
      <c r="A5" s="72" t="s">
        <v>32</v>
      </c>
      <c r="B5" s="23" t="s">
        <v>36</v>
      </c>
      <c r="C5" s="24" t="s">
        <v>39</v>
      </c>
      <c r="D5" s="25">
        <v>1</v>
      </c>
      <c r="E5" s="25">
        <v>720</v>
      </c>
      <c r="F5" s="25">
        <f t="shared" si="9"/>
        <v>720</v>
      </c>
      <c r="G5" s="25"/>
      <c r="H5" s="25"/>
      <c r="I5" s="25">
        <v>12</v>
      </c>
      <c r="J5" s="25">
        <f t="shared" si="0"/>
        <v>60</v>
      </c>
      <c r="K5" s="26">
        <v>5.99</v>
      </c>
      <c r="L5" s="26">
        <f t="shared" ref="L5" si="19">K5+17/O5</f>
        <v>6.2166666666666668</v>
      </c>
      <c r="M5" s="26">
        <f t="shared" si="10"/>
        <v>4312.8</v>
      </c>
      <c r="N5" s="27">
        <f t="shared" si="11"/>
        <v>676.8</v>
      </c>
      <c r="O5" s="23">
        <v>75</v>
      </c>
      <c r="P5" s="28">
        <f t="shared" si="12"/>
        <v>449.25</v>
      </c>
      <c r="Q5" s="28">
        <f t="shared" si="1"/>
        <v>323460</v>
      </c>
      <c r="R5" s="28">
        <f t="shared" si="2"/>
        <v>110301.79028132993</v>
      </c>
      <c r="S5" s="28">
        <f t="shared" si="3"/>
        <v>54287.577437235079</v>
      </c>
      <c r="T5" s="28">
        <f t="shared" si="4"/>
        <v>1613.9550048907724</v>
      </c>
      <c r="U5" s="28">
        <f t="shared" ref="U5" si="20">Q5+R5+S5+T5</f>
        <v>489663.32272345584</v>
      </c>
      <c r="V5" s="29">
        <f t="shared" ref="V5" si="21">IFERROR(SUM(U5/E5),"")</f>
        <v>680.08794822702203</v>
      </c>
      <c r="W5" s="65">
        <f t="shared" si="6"/>
        <v>690.88334108346896</v>
      </c>
      <c r="X5" s="30">
        <v>1035</v>
      </c>
      <c r="Y5" s="31">
        <f t="shared" si="18"/>
        <v>0.52186199255291588</v>
      </c>
      <c r="Z5" s="66">
        <f t="shared" si="15"/>
        <v>0.49808214853881771</v>
      </c>
      <c r="AA5" s="32">
        <f t="shared" si="7"/>
        <v>745200</v>
      </c>
      <c r="AB5" s="32">
        <f t="shared" si="8"/>
        <v>489663.32272345584</v>
      </c>
      <c r="AC5" s="64">
        <f t="shared" si="16"/>
        <v>497436.00558009767</v>
      </c>
      <c r="AD5" s="21"/>
      <c r="AE5" s="21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  <c r="IZ5" s="22"/>
      <c r="JA5" s="22"/>
      <c r="JB5" s="22"/>
      <c r="JC5" s="22"/>
      <c r="JD5" s="22"/>
      <c r="JE5" s="22"/>
      <c r="JF5" s="22"/>
      <c r="JG5" s="22"/>
      <c r="JH5" s="22"/>
      <c r="JI5" s="22"/>
      <c r="JJ5" s="22"/>
      <c r="JK5" s="22"/>
      <c r="JL5" s="22"/>
      <c r="JM5" s="22"/>
      <c r="JN5" s="22"/>
      <c r="JO5" s="22"/>
      <c r="JP5" s="22"/>
      <c r="JQ5" s="22"/>
      <c r="JR5" s="22"/>
      <c r="JS5" s="22"/>
      <c r="JT5" s="22"/>
      <c r="JU5" s="22"/>
      <c r="JV5" s="22"/>
      <c r="JW5" s="22"/>
      <c r="JX5" s="22"/>
      <c r="JY5" s="22"/>
      <c r="JZ5" s="22"/>
      <c r="KA5" s="22"/>
      <c r="KB5" s="22"/>
      <c r="KC5" s="22"/>
      <c r="KD5" s="22"/>
      <c r="KE5" s="22"/>
      <c r="KF5" s="22"/>
      <c r="KG5" s="22"/>
      <c r="KH5" s="22"/>
      <c r="KI5" s="22"/>
      <c r="KJ5" s="22"/>
      <c r="KK5" s="22"/>
      <c r="KL5" s="22"/>
      <c r="KM5" s="22"/>
      <c r="KN5" s="22"/>
      <c r="KO5" s="22"/>
      <c r="KP5" s="22"/>
      <c r="KQ5" s="22"/>
      <c r="KR5" s="22"/>
      <c r="KS5" s="22"/>
      <c r="KT5" s="22"/>
      <c r="KU5" s="22"/>
      <c r="KV5" s="22"/>
      <c r="KW5" s="22"/>
      <c r="KX5" s="22"/>
      <c r="KY5" s="22"/>
      <c r="KZ5" s="22"/>
      <c r="LA5" s="22"/>
      <c r="LB5" s="22"/>
      <c r="LC5" s="22"/>
      <c r="LD5" s="22"/>
      <c r="LE5" s="22"/>
      <c r="LF5" s="22"/>
      <c r="LG5" s="22"/>
      <c r="LH5" s="22"/>
      <c r="LI5" s="22"/>
      <c r="LJ5" s="22"/>
      <c r="LK5" s="22"/>
      <c r="LL5" s="22"/>
      <c r="LM5" s="22"/>
      <c r="LN5" s="22"/>
      <c r="LO5" s="22"/>
      <c r="LP5" s="22"/>
      <c r="LQ5" s="22"/>
      <c r="LR5" s="22"/>
      <c r="LS5" s="22"/>
      <c r="LT5" s="22"/>
      <c r="LU5" s="22"/>
      <c r="LV5" s="22"/>
      <c r="LW5" s="22"/>
      <c r="LX5" s="22"/>
      <c r="LY5" s="22"/>
      <c r="LZ5" s="22"/>
      <c r="MA5" s="22"/>
      <c r="MB5" s="22"/>
      <c r="MC5" s="22"/>
      <c r="MD5" s="22"/>
      <c r="ME5" s="22"/>
      <c r="MF5" s="22"/>
      <c r="MG5" s="22"/>
      <c r="MH5" s="22"/>
      <c r="MI5" s="22"/>
      <c r="MJ5" s="22"/>
      <c r="MK5" s="22"/>
      <c r="ML5" s="22"/>
      <c r="MM5" s="22"/>
      <c r="MN5" s="22"/>
      <c r="MO5" s="22"/>
      <c r="MP5" s="22"/>
      <c r="MQ5" s="22"/>
      <c r="MR5" s="22"/>
      <c r="MS5" s="22"/>
      <c r="MT5" s="22"/>
      <c r="MU5" s="22"/>
      <c r="MV5" s="22"/>
      <c r="MW5" s="22"/>
      <c r="MX5" s="22"/>
      <c r="MY5" s="22"/>
      <c r="MZ5" s="22"/>
      <c r="NA5" s="22"/>
      <c r="NB5" s="22"/>
      <c r="NC5" s="22"/>
      <c r="ND5" s="22"/>
      <c r="NE5" s="22"/>
      <c r="NF5" s="22"/>
      <c r="NG5" s="22"/>
      <c r="NH5" s="22"/>
      <c r="NI5" s="22"/>
      <c r="NJ5" s="22"/>
      <c r="NK5" s="22"/>
      <c r="NL5" s="22"/>
      <c r="NM5" s="22"/>
      <c r="NN5" s="22"/>
      <c r="NO5" s="22"/>
      <c r="NP5" s="22"/>
      <c r="NQ5" s="22"/>
      <c r="NR5" s="22"/>
      <c r="NS5" s="22"/>
      <c r="NT5" s="22"/>
      <c r="NU5" s="22"/>
      <c r="NV5" s="22"/>
      <c r="NW5" s="22"/>
      <c r="NX5" s="22"/>
      <c r="NY5" s="22"/>
      <c r="NZ5" s="22"/>
      <c r="OA5" s="22"/>
      <c r="OB5" s="22"/>
      <c r="OC5" s="22"/>
      <c r="OD5" s="22"/>
      <c r="OE5" s="22"/>
      <c r="OF5" s="22"/>
      <c r="OG5" s="22"/>
      <c r="OH5" s="22"/>
      <c r="OI5" s="22"/>
      <c r="OJ5" s="22"/>
      <c r="OK5" s="22"/>
      <c r="OL5" s="22"/>
      <c r="OM5" s="22"/>
      <c r="ON5" s="22"/>
      <c r="OO5" s="22"/>
      <c r="OP5" s="22"/>
      <c r="OQ5" s="22"/>
      <c r="OR5" s="22"/>
      <c r="OS5" s="22"/>
      <c r="OT5" s="22"/>
      <c r="OU5" s="22"/>
      <c r="OV5" s="22"/>
      <c r="OW5" s="22"/>
      <c r="OX5" s="22"/>
      <c r="OY5" s="22"/>
      <c r="OZ5" s="22"/>
      <c r="PA5" s="22"/>
      <c r="PB5" s="22"/>
      <c r="PC5" s="22"/>
      <c r="PD5" s="22"/>
      <c r="PE5" s="22"/>
      <c r="PF5" s="22"/>
      <c r="PG5" s="22"/>
      <c r="PH5" s="22"/>
      <c r="PI5" s="22"/>
      <c r="PJ5" s="22"/>
      <c r="PK5" s="22"/>
      <c r="PL5" s="22"/>
      <c r="PM5" s="22"/>
      <c r="PN5" s="22"/>
      <c r="PO5" s="22"/>
      <c r="PP5" s="22"/>
      <c r="PQ5" s="22"/>
      <c r="PR5" s="22"/>
      <c r="PS5" s="22"/>
      <c r="PT5" s="22"/>
      <c r="PU5" s="22"/>
      <c r="PV5" s="22"/>
      <c r="PW5" s="22"/>
      <c r="PX5" s="22"/>
      <c r="PY5" s="22"/>
      <c r="PZ5" s="22"/>
      <c r="QA5" s="22"/>
      <c r="QB5" s="22"/>
      <c r="QC5" s="22"/>
      <c r="QD5" s="22"/>
      <c r="QE5" s="22"/>
      <c r="QF5" s="22"/>
      <c r="QG5" s="22"/>
      <c r="QH5" s="22"/>
      <c r="QI5" s="22"/>
      <c r="QJ5" s="22"/>
      <c r="QK5" s="22"/>
      <c r="QL5" s="22"/>
      <c r="QM5" s="22"/>
      <c r="QN5" s="22"/>
      <c r="QO5" s="22"/>
      <c r="QP5" s="22"/>
      <c r="QQ5" s="22"/>
      <c r="QR5" s="22"/>
      <c r="QS5" s="22"/>
      <c r="QT5" s="22"/>
      <c r="QU5" s="22"/>
      <c r="QV5" s="22"/>
      <c r="QW5" s="22"/>
      <c r="QX5" s="22"/>
      <c r="QY5" s="22"/>
      <c r="QZ5" s="22"/>
      <c r="RA5" s="22"/>
      <c r="RB5" s="22"/>
      <c r="RC5" s="22"/>
      <c r="RD5" s="22"/>
      <c r="RE5" s="22"/>
      <c r="RF5" s="22"/>
      <c r="RG5" s="22"/>
      <c r="RH5" s="22"/>
      <c r="RI5" s="22"/>
      <c r="RJ5" s="22"/>
      <c r="RK5" s="22"/>
      <c r="RL5" s="22"/>
      <c r="RM5" s="22"/>
      <c r="RN5" s="22"/>
      <c r="RO5" s="22"/>
      <c r="RP5" s="22"/>
      <c r="RQ5" s="22"/>
      <c r="RR5" s="22"/>
      <c r="RS5" s="22"/>
      <c r="RT5" s="22"/>
      <c r="RU5" s="22"/>
      <c r="RV5" s="22"/>
      <c r="RW5" s="22"/>
      <c r="RX5" s="22"/>
      <c r="RY5" s="22"/>
      <c r="RZ5" s="22"/>
      <c r="SA5" s="22"/>
      <c r="SB5" s="22"/>
      <c r="SC5" s="22"/>
      <c r="SD5" s="22"/>
      <c r="SE5" s="22"/>
      <c r="SF5" s="22"/>
      <c r="SG5" s="22"/>
      <c r="SH5" s="22"/>
      <c r="SI5" s="22"/>
      <c r="SJ5" s="22"/>
      <c r="SK5" s="22"/>
      <c r="SL5" s="22"/>
      <c r="SM5" s="22"/>
      <c r="SN5" s="22"/>
      <c r="SO5" s="22"/>
      <c r="SP5" s="22"/>
      <c r="SQ5" s="22"/>
      <c r="SR5" s="22"/>
      <c r="SS5" s="22"/>
      <c r="ST5" s="22"/>
      <c r="SU5" s="22"/>
      <c r="SV5" s="22"/>
      <c r="SW5" s="22"/>
      <c r="SX5" s="22"/>
      <c r="SY5" s="22"/>
      <c r="SZ5" s="22"/>
      <c r="TA5" s="22"/>
      <c r="TB5" s="22"/>
      <c r="TC5" s="22"/>
      <c r="TD5" s="22"/>
      <c r="TE5" s="22"/>
      <c r="TF5" s="22"/>
      <c r="TG5" s="22"/>
      <c r="TH5" s="22"/>
      <c r="TI5" s="22"/>
      <c r="TJ5" s="22"/>
      <c r="TK5" s="22"/>
      <c r="TL5" s="22"/>
      <c r="TM5" s="22"/>
      <c r="TN5" s="22"/>
      <c r="TO5" s="22"/>
      <c r="TP5" s="22"/>
      <c r="TQ5" s="22"/>
      <c r="TR5" s="22"/>
      <c r="TS5" s="22"/>
      <c r="TT5" s="22"/>
      <c r="TU5" s="22"/>
      <c r="TV5" s="22"/>
      <c r="TW5" s="22"/>
      <c r="TX5" s="22"/>
      <c r="TY5" s="22"/>
      <c r="TZ5" s="22"/>
      <c r="UA5" s="22"/>
      <c r="UB5" s="22"/>
      <c r="UC5" s="22"/>
      <c r="UD5" s="22"/>
      <c r="UE5" s="22"/>
      <c r="UF5" s="22"/>
      <c r="UG5" s="22"/>
      <c r="UH5" s="22"/>
      <c r="UI5" s="22"/>
      <c r="UJ5" s="22"/>
      <c r="UK5" s="22"/>
      <c r="UL5" s="22"/>
      <c r="UM5" s="22"/>
      <c r="UN5" s="22"/>
      <c r="UO5" s="22"/>
      <c r="UP5" s="22"/>
      <c r="UQ5" s="22"/>
      <c r="UR5" s="22"/>
      <c r="US5" s="22"/>
      <c r="UT5" s="22"/>
      <c r="UU5" s="22"/>
      <c r="UV5" s="22"/>
      <c r="UW5" s="22"/>
      <c r="UX5" s="22"/>
      <c r="UY5" s="22"/>
      <c r="UZ5" s="22"/>
      <c r="VA5" s="22"/>
      <c r="VB5" s="22"/>
      <c r="VC5" s="22"/>
      <c r="VD5" s="22"/>
      <c r="VE5" s="22"/>
      <c r="VF5" s="22"/>
      <c r="VG5" s="22"/>
      <c r="VH5" s="22"/>
      <c r="VI5" s="22"/>
      <c r="VJ5" s="22"/>
      <c r="VK5" s="22"/>
      <c r="VL5" s="22"/>
      <c r="VM5" s="22"/>
      <c r="VN5" s="22"/>
      <c r="VO5" s="22"/>
      <c r="VP5" s="22"/>
      <c r="VQ5" s="22"/>
      <c r="VR5" s="22"/>
      <c r="VS5" s="22"/>
      <c r="VT5" s="22"/>
      <c r="VU5" s="22"/>
      <c r="VV5" s="22"/>
      <c r="VW5" s="22"/>
      <c r="VX5" s="22"/>
      <c r="VY5" s="22"/>
      <c r="VZ5" s="22"/>
      <c r="WA5" s="22"/>
      <c r="WB5" s="22"/>
      <c r="WC5" s="22"/>
      <c r="WD5" s="22"/>
      <c r="WE5" s="22"/>
      <c r="WF5" s="22"/>
      <c r="WG5" s="22"/>
      <c r="WH5" s="22"/>
      <c r="WI5" s="22"/>
      <c r="WJ5" s="22"/>
      <c r="WK5" s="22"/>
      <c r="WL5" s="22"/>
      <c r="WM5" s="22"/>
      <c r="WN5" s="22"/>
      <c r="WO5" s="22"/>
      <c r="WP5" s="22"/>
      <c r="WQ5" s="22"/>
      <c r="WR5" s="22"/>
      <c r="WS5" s="22"/>
      <c r="WT5" s="22"/>
      <c r="WU5" s="22"/>
      <c r="WV5" s="22"/>
      <c r="WW5" s="22"/>
      <c r="WX5" s="22"/>
      <c r="WY5" s="22"/>
      <c r="WZ5" s="22"/>
      <c r="XA5" s="22"/>
      <c r="XB5" s="22"/>
      <c r="XC5" s="22"/>
      <c r="XD5" s="22"/>
      <c r="XE5" s="22"/>
      <c r="XF5" s="22"/>
      <c r="XG5" s="22"/>
      <c r="XH5" s="22"/>
      <c r="XI5" s="22"/>
      <c r="XJ5" s="22"/>
      <c r="XK5" s="22"/>
      <c r="XL5" s="22"/>
      <c r="XM5" s="22"/>
      <c r="XN5" s="22"/>
      <c r="XO5" s="22"/>
      <c r="XP5" s="22"/>
      <c r="XQ5" s="22"/>
      <c r="XR5" s="22"/>
      <c r="XS5" s="22"/>
      <c r="XT5" s="22"/>
      <c r="XU5" s="22"/>
      <c r="XV5" s="22"/>
      <c r="XW5" s="22"/>
      <c r="XX5" s="22"/>
      <c r="XY5" s="22"/>
      <c r="XZ5" s="22"/>
      <c r="YA5" s="22"/>
      <c r="YB5" s="22"/>
      <c r="YC5" s="22"/>
      <c r="YD5" s="22"/>
      <c r="YE5" s="22"/>
      <c r="YF5" s="22"/>
      <c r="YG5" s="22"/>
      <c r="YH5" s="22"/>
      <c r="YI5" s="22"/>
      <c r="YJ5" s="22"/>
      <c r="YK5" s="22"/>
      <c r="YL5" s="22"/>
      <c r="YM5" s="22"/>
      <c r="YN5" s="22"/>
      <c r="YO5" s="22"/>
      <c r="YP5" s="22"/>
      <c r="YQ5" s="22"/>
      <c r="YR5" s="22"/>
      <c r="YS5" s="22"/>
      <c r="YT5" s="22"/>
      <c r="YU5" s="22"/>
      <c r="YV5" s="22"/>
      <c r="YW5" s="22"/>
      <c r="YX5" s="22"/>
      <c r="YY5" s="22"/>
      <c r="YZ5" s="22"/>
      <c r="ZA5" s="22"/>
      <c r="ZB5" s="22"/>
      <c r="ZC5" s="22"/>
      <c r="ZD5" s="22"/>
      <c r="ZE5" s="22"/>
      <c r="ZF5" s="22"/>
      <c r="ZG5" s="22"/>
      <c r="ZH5" s="22"/>
      <c r="ZI5" s="22"/>
      <c r="ZJ5" s="22"/>
      <c r="ZK5" s="22"/>
      <c r="ZL5" s="22"/>
      <c r="ZM5" s="22"/>
      <c r="ZN5" s="22"/>
      <c r="ZO5" s="22"/>
      <c r="ZP5" s="22"/>
      <c r="ZQ5" s="22"/>
      <c r="ZR5" s="22"/>
      <c r="ZS5" s="22"/>
      <c r="ZT5" s="22"/>
      <c r="ZU5" s="22"/>
      <c r="ZV5" s="22"/>
      <c r="ZW5" s="22"/>
      <c r="ZX5" s="22"/>
      <c r="ZY5" s="22"/>
      <c r="ZZ5" s="22"/>
      <c r="AAA5" s="22"/>
      <c r="AAB5" s="22"/>
      <c r="AAC5" s="22"/>
      <c r="AAD5" s="22"/>
      <c r="AAE5" s="22"/>
      <c r="AAF5" s="22"/>
      <c r="AAG5" s="22"/>
      <c r="AAH5" s="22"/>
      <c r="AAI5" s="22"/>
      <c r="AAJ5" s="22"/>
      <c r="AAK5" s="22"/>
      <c r="AAL5" s="22"/>
      <c r="AAM5" s="22"/>
      <c r="AAN5" s="22"/>
      <c r="AAO5" s="22"/>
      <c r="AAP5" s="22"/>
      <c r="AAQ5" s="22"/>
      <c r="AAR5" s="22"/>
      <c r="AAS5" s="22"/>
      <c r="AAT5" s="22"/>
      <c r="AAU5" s="22"/>
      <c r="AAV5" s="22"/>
      <c r="AAW5" s="22"/>
      <c r="AAX5" s="22"/>
      <c r="AAY5" s="22"/>
      <c r="AAZ5" s="22"/>
      <c r="ABA5" s="22"/>
      <c r="ABB5" s="22"/>
      <c r="ABC5" s="22"/>
      <c r="ABD5" s="22"/>
      <c r="ABE5" s="22"/>
      <c r="ABF5" s="22"/>
      <c r="ABG5" s="22"/>
      <c r="ABH5" s="22"/>
      <c r="ABI5" s="22"/>
      <c r="ABJ5" s="22"/>
      <c r="ABK5" s="22"/>
      <c r="ABL5" s="22"/>
      <c r="ABM5" s="22"/>
      <c r="ABN5" s="22"/>
      <c r="ABO5" s="22"/>
      <c r="ABP5" s="22"/>
      <c r="ABQ5" s="22"/>
      <c r="ABR5" s="22"/>
      <c r="ABS5" s="22"/>
      <c r="ABT5" s="22"/>
      <c r="ABU5" s="22"/>
      <c r="ABV5" s="22"/>
      <c r="ABW5" s="22"/>
      <c r="ABX5" s="22"/>
      <c r="ABY5" s="22"/>
      <c r="ABZ5" s="22"/>
      <c r="ACA5" s="22"/>
      <c r="ACB5" s="22"/>
      <c r="ACC5" s="22"/>
      <c r="ACD5" s="22"/>
      <c r="ACE5" s="22"/>
      <c r="ACF5" s="22"/>
      <c r="ACG5" s="22"/>
      <c r="ACH5" s="22"/>
      <c r="ACI5" s="22"/>
      <c r="ACJ5" s="22"/>
      <c r="ACK5" s="22"/>
      <c r="ACL5" s="22"/>
      <c r="ACM5" s="22"/>
      <c r="ACN5" s="22"/>
      <c r="ACO5" s="22"/>
      <c r="ACP5" s="22"/>
      <c r="ACQ5" s="22"/>
      <c r="ACR5" s="22"/>
      <c r="ACS5" s="22"/>
      <c r="ACT5" s="22"/>
      <c r="ACU5" s="22"/>
      <c r="ACV5" s="22"/>
      <c r="ACW5" s="22"/>
      <c r="ACX5" s="22"/>
      <c r="ACY5" s="22"/>
      <c r="ACZ5" s="22"/>
      <c r="ADA5" s="22"/>
      <c r="ADB5" s="22"/>
      <c r="ADC5" s="22"/>
      <c r="ADD5" s="22"/>
      <c r="ADE5" s="22"/>
      <c r="ADF5" s="22"/>
      <c r="ADG5" s="22"/>
      <c r="ADH5" s="22"/>
      <c r="ADI5" s="22"/>
      <c r="ADJ5" s="22"/>
      <c r="ADK5" s="22"/>
      <c r="ADL5" s="22"/>
      <c r="ADM5" s="22"/>
      <c r="ADN5" s="22"/>
      <c r="ADO5" s="22"/>
      <c r="ADP5" s="22"/>
      <c r="ADQ5" s="22"/>
      <c r="ADR5" s="22"/>
      <c r="ADS5" s="22"/>
      <c r="ADT5" s="22"/>
      <c r="ADU5" s="22"/>
      <c r="ADV5" s="22"/>
      <c r="ADW5" s="22"/>
      <c r="ADX5" s="22"/>
      <c r="ADY5" s="22"/>
      <c r="ADZ5" s="22"/>
      <c r="AEA5" s="22"/>
      <c r="AEB5" s="22"/>
      <c r="AEC5" s="22"/>
      <c r="AED5" s="22"/>
      <c r="AEE5" s="22"/>
      <c r="AEF5" s="22"/>
      <c r="AEG5" s="22"/>
      <c r="AEH5" s="22"/>
      <c r="AEI5" s="22"/>
      <c r="AEJ5" s="22"/>
      <c r="AEK5" s="22"/>
      <c r="AEL5" s="22"/>
      <c r="AEM5" s="22"/>
      <c r="AEN5" s="22"/>
      <c r="AEO5" s="22"/>
      <c r="AEP5" s="22"/>
      <c r="AEQ5" s="22"/>
      <c r="AER5" s="22"/>
      <c r="AES5" s="22"/>
      <c r="AET5" s="22"/>
      <c r="AEU5" s="22"/>
      <c r="AEV5" s="22"/>
      <c r="AEW5" s="22"/>
      <c r="AEX5" s="22"/>
      <c r="AEY5" s="22"/>
      <c r="AEZ5" s="22"/>
      <c r="AFA5" s="22"/>
      <c r="AFB5" s="22"/>
      <c r="AFC5" s="22"/>
      <c r="AFD5" s="22"/>
      <c r="AFE5" s="22"/>
      <c r="AFF5" s="22"/>
      <c r="AFG5" s="22"/>
      <c r="AFH5" s="22"/>
      <c r="AFI5" s="22"/>
      <c r="AFJ5" s="22"/>
      <c r="AFK5" s="22"/>
      <c r="AFL5" s="22"/>
      <c r="AFM5" s="22"/>
      <c r="AFN5" s="22"/>
      <c r="AFO5" s="22"/>
      <c r="AFP5" s="22"/>
      <c r="AFQ5" s="22"/>
      <c r="AFR5" s="22"/>
      <c r="AFS5" s="22"/>
      <c r="AFT5" s="22"/>
      <c r="AFU5" s="22"/>
      <c r="AFV5" s="22"/>
      <c r="AFW5" s="22"/>
      <c r="AFX5" s="22"/>
      <c r="AFY5" s="22"/>
      <c r="AFZ5" s="22"/>
      <c r="AGA5" s="22"/>
      <c r="AGB5" s="22"/>
      <c r="AGC5" s="22"/>
      <c r="AGD5" s="22"/>
      <c r="AGE5" s="22"/>
      <c r="AGF5" s="22"/>
      <c r="AGG5" s="22"/>
      <c r="AGH5" s="22"/>
      <c r="AGI5" s="22"/>
      <c r="AGJ5" s="22"/>
      <c r="AGK5" s="22"/>
      <c r="AGL5" s="22"/>
      <c r="AGM5" s="22"/>
      <c r="AGN5" s="22"/>
      <c r="AGO5" s="22"/>
      <c r="AGP5" s="22"/>
      <c r="AGQ5" s="22"/>
      <c r="AGR5" s="22"/>
      <c r="AGS5" s="22"/>
      <c r="AGT5" s="22"/>
      <c r="AGU5" s="22"/>
      <c r="AGV5" s="22"/>
      <c r="AGW5" s="22"/>
      <c r="AGX5" s="22"/>
      <c r="AGY5" s="22"/>
      <c r="AGZ5" s="22"/>
      <c r="AHA5" s="22"/>
      <c r="AHB5" s="22"/>
      <c r="AHC5" s="22"/>
      <c r="AHD5" s="22"/>
      <c r="AHE5" s="22"/>
      <c r="AHF5" s="22"/>
      <c r="AHG5" s="22"/>
      <c r="AHH5" s="22"/>
      <c r="AHI5" s="22"/>
      <c r="AHJ5" s="22"/>
      <c r="AHK5" s="22"/>
      <c r="AHL5" s="22"/>
      <c r="AHM5" s="22"/>
      <c r="AHN5" s="22"/>
      <c r="AHO5" s="22"/>
      <c r="AHP5" s="22"/>
      <c r="AHQ5" s="22"/>
      <c r="AHR5" s="22"/>
      <c r="AHS5" s="22"/>
      <c r="AHT5" s="22"/>
      <c r="AHU5" s="22"/>
      <c r="AHV5" s="22"/>
      <c r="AHW5" s="22"/>
      <c r="AHX5" s="22"/>
      <c r="AHY5" s="22"/>
      <c r="AHZ5" s="22"/>
      <c r="AIA5" s="22"/>
      <c r="AIB5" s="22"/>
      <c r="AIC5" s="22"/>
      <c r="AID5" s="22"/>
      <c r="AIE5" s="22"/>
      <c r="AIF5" s="22"/>
      <c r="AIG5" s="22"/>
      <c r="AIH5" s="22"/>
      <c r="AII5" s="22"/>
      <c r="AIJ5" s="22"/>
      <c r="AIK5" s="22"/>
      <c r="AIL5" s="22"/>
      <c r="AIM5" s="22"/>
      <c r="AIN5" s="22"/>
      <c r="AIO5" s="22"/>
      <c r="AIP5" s="22"/>
      <c r="AIQ5" s="22"/>
      <c r="AIR5" s="22"/>
      <c r="AIS5" s="22"/>
      <c r="AIT5" s="22"/>
      <c r="AIU5" s="22"/>
      <c r="AIV5" s="22"/>
      <c r="AIW5" s="22"/>
      <c r="AIX5" s="22"/>
      <c r="AIY5" s="22"/>
      <c r="AIZ5" s="22"/>
      <c r="AJA5" s="22"/>
      <c r="AJB5" s="22"/>
      <c r="AJC5" s="22"/>
      <c r="AJD5" s="22"/>
      <c r="AJE5" s="22"/>
      <c r="AJF5" s="22"/>
      <c r="AJG5" s="22"/>
      <c r="AJH5" s="22"/>
      <c r="AJI5" s="22"/>
      <c r="AJJ5" s="22"/>
      <c r="AJK5" s="22"/>
      <c r="AJL5" s="22"/>
      <c r="AJM5" s="22"/>
      <c r="AJN5" s="22"/>
      <c r="AJO5" s="22"/>
      <c r="AJP5" s="22"/>
      <c r="AJQ5" s="22"/>
      <c r="AJR5" s="22"/>
      <c r="AJS5" s="22"/>
      <c r="AJT5" s="22"/>
      <c r="AJU5" s="22"/>
      <c r="AJV5" s="22"/>
      <c r="AJW5" s="22"/>
      <c r="AJX5" s="22"/>
      <c r="AJY5" s="22"/>
      <c r="AJZ5" s="22"/>
      <c r="AKA5" s="22"/>
      <c r="AKB5" s="22"/>
      <c r="AKC5" s="22"/>
      <c r="AKD5" s="22"/>
      <c r="AKE5" s="22"/>
      <c r="AKF5" s="22"/>
      <c r="AKG5" s="22"/>
      <c r="AKH5" s="22"/>
      <c r="AKI5" s="22"/>
      <c r="AKJ5" s="22"/>
      <c r="AKK5" s="22"/>
      <c r="AKL5" s="22"/>
      <c r="AKM5" s="22"/>
      <c r="AKN5" s="22"/>
      <c r="AKO5" s="22"/>
      <c r="AKP5" s="22"/>
      <c r="AKQ5" s="22"/>
      <c r="AKR5" s="22"/>
      <c r="AKS5" s="22"/>
      <c r="AKT5" s="22"/>
      <c r="AKU5" s="22"/>
      <c r="AKV5" s="22"/>
      <c r="AKW5" s="22"/>
      <c r="AKX5" s="22"/>
      <c r="AKY5" s="22"/>
      <c r="AKZ5" s="22"/>
      <c r="ALA5" s="22"/>
      <c r="ALB5" s="22"/>
      <c r="ALC5" s="22"/>
      <c r="ALD5" s="22"/>
      <c r="ALE5" s="22"/>
      <c r="ALF5" s="22"/>
      <c r="ALG5" s="22"/>
      <c r="ALH5" s="22"/>
      <c r="ALI5" s="22"/>
      <c r="ALJ5" s="22"/>
      <c r="ALK5" s="22"/>
      <c r="ALL5" s="22"/>
      <c r="ALM5" s="22"/>
      <c r="ALN5" s="22"/>
      <c r="ALO5" s="22"/>
      <c r="ALP5" s="22"/>
      <c r="ALQ5" s="22"/>
      <c r="ALR5" s="22"/>
      <c r="ALS5" s="22"/>
      <c r="ALT5" s="22"/>
      <c r="ALU5" s="22"/>
      <c r="ALV5" s="22"/>
      <c r="ALW5" s="22"/>
      <c r="ALX5" s="22"/>
      <c r="ALY5" s="22"/>
      <c r="ALZ5" s="22"/>
      <c r="AMA5" s="22"/>
      <c r="AMB5" s="22"/>
      <c r="AMC5" s="22"/>
      <c r="AMD5" s="22"/>
      <c r="AME5" s="22"/>
      <c r="AMF5" s="22"/>
      <c r="AMG5" s="22"/>
      <c r="AMH5" s="22"/>
      <c r="AMI5" s="22"/>
      <c r="AMJ5" s="22"/>
      <c r="AMK5" s="22"/>
    </row>
    <row r="6" spans="1:1025" ht="15.75" x14ac:dyDescent="0.25">
      <c r="A6" s="72" t="s">
        <v>22</v>
      </c>
      <c r="B6" s="23" t="s">
        <v>21</v>
      </c>
      <c r="C6" s="24" t="s">
        <v>40</v>
      </c>
      <c r="D6" s="25">
        <v>1</v>
      </c>
      <c r="E6" s="25">
        <v>1152</v>
      </c>
      <c r="F6" s="25">
        <f t="shared" si="9"/>
        <v>1152</v>
      </c>
      <c r="G6" s="25"/>
      <c r="H6" s="25"/>
      <c r="I6" s="25">
        <v>12</v>
      </c>
      <c r="J6" s="25">
        <f t="shared" si="0"/>
        <v>96</v>
      </c>
      <c r="K6" s="26">
        <v>6.9</v>
      </c>
      <c r="L6" s="26">
        <f t="shared" si="17"/>
        <v>7.1266666666666669</v>
      </c>
      <c r="M6" s="26">
        <f t="shared" si="10"/>
        <v>7948.8</v>
      </c>
      <c r="N6" s="27">
        <f t="shared" si="11"/>
        <v>1082.8799999999999</v>
      </c>
      <c r="O6" s="23">
        <v>75</v>
      </c>
      <c r="P6" s="28">
        <f t="shared" si="12"/>
        <v>517.5</v>
      </c>
      <c r="Q6" s="28">
        <f t="shared" si="1"/>
        <v>596160</v>
      </c>
      <c r="R6" s="28">
        <f t="shared" si="2"/>
        <v>203294.11764705883</v>
      </c>
      <c r="S6" s="28">
        <f t="shared" si="3"/>
        <v>86860.123899576123</v>
      </c>
      <c r="T6" s="28">
        <f t="shared" si="4"/>
        <v>2582.328007825236</v>
      </c>
      <c r="U6" s="28">
        <f t="shared" si="5"/>
        <v>888896.56955446012</v>
      </c>
      <c r="V6" s="29">
        <f t="shared" ref="V6:V13" si="22">IFERROR(SUM(U6/E6),"")</f>
        <v>771.61160551602438</v>
      </c>
      <c r="W6" s="65">
        <f t="shared" si="6"/>
        <v>795.84224598930473</v>
      </c>
      <c r="X6" s="30">
        <v>980</v>
      </c>
      <c r="Y6" s="31">
        <f t="shared" si="18"/>
        <v>0.2700690256526318</v>
      </c>
      <c r="Z6" s="66">
        <f t="shared" si="15"/>
        <v>0.23139982193552736</v>
      </c>
      <c r="AA6" s="32">
        <f t="shared" si="7"/>
        <v>1128960</v>
      </c>
      <c r="AB6" s="32">
        <f t="shared" si="8"/>
        <v>888896.56955446012</v>
      </c>
      <c r="AC6" s="64">
        <f t="shared" si="16"/>
        <v>916810.26737967902</v>
      </c>
      <c r="AD6" s="21"/>
      <c r="AE6" s="21"/>
    </row>
    <row r="7" spans="1:1025" ht="30.75" customHeight="1" x14ac:dyDescent="0.25">
      <c r="A7" s="72" t="s">
        <v>27</v>
      </c>
      <c r="B7" s="58" t="s">
        <v>26</v>
      </c>
      <c r="C7" s="24" t="s">
        <v>41</v>
      </c>
      <c r="D7" s="25">
        <v>4</v>
      </c>
      <c r="E7" s="25">
        <f>144*10</f>
        <v>1440</v>
      </c>
      <c r="F7" s="25">
        <f t="shared" si="9"/>
        <v>5760</v>
      </c>
      <c r="G7" s="25"/>
      <c r="H7" s="25"/>
      <c r="I7" s="25">
        <v>3</v>
      </c>
      <c r="J7" s="25">
        <f t="shared" si="0"/>
        <v>480</v>
      </c>
      <c r="K7" s="26">
        <v>15.41</v>
      </c>
      <c r="L7" s="26">
        <f t="shared" si="17"/>
        <v>15.636666666666667</v>
      </c>
      <c r="M7" s="26">
        <f t="shared" si="10"/>
        <v>22190.400000000001</v>
      </c>
      <c r="N7" s="27">
        <f t="shared" si="11"/>
        <v>5414.4</v>
      </c>
      <c r="O7" s="23">
        <v>75</v>
      </c>
      <c r="P7" s="28">
        <f>K7*O7</f>
        <v>1155.75</v>
      </c>
      <c r="Q7" s="28">
        <f t="shared" si="1"/>
        <v>1664280</v>
      </c>
      <c r="R7" s="28">
        <f t="shared" si="2"/>
        <v>567529.4117647059</v>
      </c>
      <c r="S7" s="28">
        <f t="shared" si="3"/>
        <v>434300.61949788063</v>
      </c>
      <c r="T7" s="28">
        <f t="shared" si="4"/>
        <v>12911.64003912618</v>
      </c>
      <c r="U7" s="28">
        <f t="shared" si="5"/>
        <v>2679021.6713017132</v>
      </c>
      <c r="V7" s="29">
        <f t="shared" si="22"/>
        <v>1860.4317161817453</v>
      </c>
      <c r="W7" s="65">
        <f t="shared" si="6"/>
        <v>1777.3810160427806</v>
      </c>
      <c r="X7" s="30">
        <v>2620</v>
      </c>
      <c r="Y7" s="31">
        <f t="shared" si="18"/>
        <v>0.4082752821356721</v>
      </c>
      <c r="Z7" s="66">
        <f>(X7-W7)/W7</f>
        <v>0.47407898270076831</v>
      </c>
      <c r="AA7" s="32">
        <f t="shared" si="7"/>
        <v>3772800</v>
      </c>
      <c r="AB7" s="32">
        <f t="shared" si="8"/>
        <v>2679021.6713017132</v>
      </c>
      <c r="AC7" s="64">
        <f t="shared" si="16"/>
        <v>2559428.6631016042</v>
      </c>
      <c r="AD7" s="21"/>
      <c r="AE7" s="21"/>
    </row>
    <row r="8" spans="1:1025" ht="15.75" x14ac:dyDescent="0.25">
      <c r="A8" s="72" t="s">
        <v>22</v>
      </c>
      <c r="B8" s="73" t="s">
        <v>21</v>
      </c>
      <c r="C8" s="74" t="s">
        <v>40</v>
      </c>
      <c r="D8" s="25">
        <v>1</v>
      </c>
      <c r="E8" s="25">
        <v>120</v>
      </c>
      <c r="F8" s="25">
        <f t="shared" si="9"/>
        <v>120</v>
      </c>
      <c r="G8" s="25"/>
      <c r="H8" s="25"/>
      <c r="I8" s="25">
        <v>12</v>
      </c>
      <c r="J8" s="25">
        <f t="shared" si="0"/>
        <v>10</v>
      </c>
      <c r="K8" s="26">
        <v>6.8</v>
      </c>
      <c r="L8" s="26">
        <f t="shared" ref="L8" si="23">K8+17/O8</f>
        <v>7.0266666666666664</v>
      </c>
      <c r="M8" s="26">
        <f t="shared" ref="M8:M13" si="24">K8*E8</f>
        <v>816</v>
      </c>
      <c r="N8" s="27">
        <f t="shared" si="11"/>
        <v>112.8</v>
      </c>
      <c r="O8" s="23">
        <v>75</v>
      </c>
      <c r="P8" s="28">
        <f t="shared" ref="P8" si="25">K8*O8</f>
        <v>510</v>
      </c>
      <c r="Q8" s="28">
        <f t="shared" ref="Q8" si="26">$Q$19/$M$17*M8</f>
        <v>61200</v>
      </c>
      <c r="R8" s="28">
        <f t="shared" ref="R8" si="27">$R$19/$M$17*M8</f>
        <v>20869.565217391304</v>
      </c>
      <c r="S8" s="28">
        <f t="shared" ref="S8" si="28">$S$19/$N$17*N8</f>
        <v>9047.9295728725137</v>
      </c>
      <c r="T8" s="28">
        <f t="shared" ref="T8" si="29">$T$19/$N$17*N8</f>
        <v>268.99250081512878</v>
      </c>
      <c r="U8" s="28">
        <f t="shared" ref="U8" si="30">Q8+R8+S8+T8</f>
        <v>91386.487291078942</v>
      </c>
      <c r="V8" s="29">
        <f t="shared" si="22"/>
        <v>761.55406075899123</v>
      </c>
      <c r="W8" s="65">
        <f t="shared" ref="W8" si="31">P8*($U$19 / $Q$17)</f>
        <v>784.30830039525688</v>
      </c>
      <c r="X8" s="30">
        <v>980</v>
      </c>
      <c r="Y8" s="31">
        <f t="shared" ref="Y8" si="32">IFERROR((X8-V8)/V8,"")</f>
        <v>0.28684232741572929</v>
      </c>
      <c r="Z8" s="66">
        <f t="shared" ref="Z8" si="33">(X8-W8)/W8</f>
        <v>0.24950864284634386</v>
      </c>
      <c r="AA8" s="32">
        <f t="shared" ref="AA8" si="34">X8*E8</f>
        <v>117600</v>
      </c>
      <c r="AB8" s="32">
        <f t="shared" ref="AB8" si="35">IFERROR(V8*E8,"")</f>
        <v>91386.487291078942</v>
      </c>
      <c r="AC8" s="64">
        <f t="shared" ref="AC8" si="36">W8*E8</f>
        <v>94116.996047430832</v>
      </c>
      <c r="AD8" s="21"/>
      <c r="AE8" s="21"/>
    </row>
    <row r="9" spans="1:1025" ht="31.5" x14ac:dyDescent="0.25">
      <c r="A9" s="72" t="s">
        <v>33</v>
      </c>
      <c r="B9" s="73" t="s">
        <v>36</v>
      </c>
      <c r="C9" s="74" t="s">
        <v>37</v>
      </c>
      <c r="D9" s="25">
        <v>5</v>
      </c>
      <c r="E9" s="25">
        <v>240</v>
      </c>
      <c r="F9" s="25">
        <f t="shared" ref="F9:F10" si="37">E9*D9</f>
        <v>1200</v>
      </c>
      <c r="G9" s="25"/>
      <c r="H9" s="25"/>
      <c r="I9" s="25">
        <v>3</v>
      </c>
      <c r="J9" s="25">
        <f t="shared" si="0"/>
        <v>80</v>
      </c>
      <c r="K9" s="26">
        <v>35.44</v>
      </c>
      <c r="L9" s="26">
        <f>K9+17/O9</f>
        <v>35.666666666666664</v>
      </c>
      <c r="M9" s="26">
        <f t="shared" si="24"/>
        <v>8505.5999999999985</v>
      </c>
      <c r="N9" s="27">
        <f t="shared" si="11"/>
        <v>1128</v>
      </c>
      <c r="O9" s="23">
        <v>75</v>
      </c>
      <c r="P9" s="28">
        <f t="shared" ref="P9" si="38">K9*O9</f>
        <v>2658</v>
      </c>
      <c r="Q9" s="28">
        <f t="shared" ref="Q9" si="39">$Q$19/$M$17*M9</f>
        <v>637919.99999999988</v>
      </c>
      <c r="R9" s="28">
        <f t="shared" ref="R9" si="40">$R$19/$M$17*M9</f>
        <v>217534.52685421993</v>
      </c>
      <c r="S9" s="28">
        <f t="shared" ref="S9" si="41">$S$19/$N$17*N9</f>
        <v>90479.295728725148</v>
      </c>
      <c r="T9" s="28">
        <f t="shared" ref="T9" si="42">$T$19/$N$17*N9</f>
        <v>2689.9250081512878</v>
      </c>
      <c r="U9" s="28">
        <f t="shared" ref="U9" si="43">Q9+R9+S9+T9</f>
        <v>948623.74759109633</v>
      </c>
      <c r="V9" s="29">
        <f t="shared" si="22"/>
        <v>3952.5989482962345</v>
      </c>
      <c r="W9" s="65">
        <f t="shared" ref="W9" si="44">P9*($U$19 / $Q$17)</f>
        <v>4087.6303185305742</v>
      </c>
      <c r="X9" s="30">
        <v>4750</v>
      </c>
      <c r="Y9" s="31">
        <f t="shared" ref="Y9" si="45">IFERROR((X9-V9)/V9,"")</f>
        <v>0.20174094618111577</v>
      </c>
      <c r="Z9" s="66">
        <f t="shared" ref="Z9" si="46">(X9-W9)/W9</f>
        <v>0.16204246222235066</v>
      </c>
      <c r="AA9" s="32">
        <f t="shared" ref="AA9" si="47">X9*E9</f>
        <v>1140000</v>
      </c>
      <c r="AB9" s="32">
        <f t="shared" ref="AB9" si="48">IFERROR(V9*E9,"")</f>
        <v>948623.74759109633</v>
      </c>
      <c r="AC9" s="64">
        <f t="shared" ref="AC9" si="49">W9*E9</f>
        <v>981031.27644733782</v>
      </c>
      <c r="AD9" s="21"/>
      <c r="AE9" s="21"/>
    </row>
    <row r="10" spans="1:1025" ht="15.75" x14ac:dyDescent="0.25">
      <c r="A10" s="72" t="s">
        <v>45</v>
      </c>
      <c r="B10" s="68" t="s">
        <v>21</v>
      </c>
      <c r="C10" s="69" t="s">
        <v>46</v>
      </c>
      <c r="D10" s="70">
        <v>1</v>
      </c>
      <c r="E10" s="25">
        <v>5760</v>
      </c>
      <c r="F10" s="25">
        <f t="shared" si="37"/>
        <v>5760</v>
      </c>
      <c r="G10" s="25"/>
      <c r="H10" s="25"/>
      <c r="I10" s="25">
        <v>12</v>
      </c>
      <c r="J10" s="25">
        <f t="shared" si="0"/>
        <v>480</v>
      </c>
      <c r="K10" s="26">
        <v>8.6</v>
      </c>
      <c r="L10" s="26">
        <f>K10+17/O10</f>
        <v>8.8266666666666662</v>
      </c>
      <c r="M10" s="26">
        <f t="shared" si="24"/>
        <v>49536</v>
      </c>
      <c r="N10" s="27">
        <f t="shared" si="11"/>
        <v>5414.4</v>
      </c>
      <c r="O10" s="23">
        <v>75</v>
      </c>
      <c r="P10" s="28">
        <f>K10*O10</f>
        <v>645</v>
      </c>
      <c r="Q10" s="28">
        <f t="shared" ref="Q10:Q13" si="50">$Q$19/$M$17*M10</f>
        <v>3715200</v>
      </c>
      <c r="R10" s="28">
        <f t="shared" ref="R10:R13" si="51">$R$19/$M$17*M10</f>
        <v>1266905.3708439898</v>
      </c>
      <c r="S10" s="28">
        <f t="shared" ref="S10:S13" si="52">$S$19/$N$17*N10</f>
        <v>434300.61949788063</v>
      </c>
      <c r="T10" s="28">
        <f t="shared" ref="T10:T13" si="53">$T$19/$N$17*N10</f>
        <v>12911.64003912618</v>
      </c>
      <c r="U10" s="28">
        <f t="shared" ref="U10:U13" si="54">Q10+R10+S10+T10</f>
        <v>5429317.6303809965</v>
      </c>
      <c r="V10" s="29">
        <f t="shared" si="22"/>
        <v>942.58986638558963</v>
      </c>
      <c r="W10" s="65">
        <f t="shared" ref="W10:W13" si="55">P10*($U$19 / $Q$17)</f>
        <v>991.91932108811898</v>
      </c>
      <c r="X10" s="30">
        <v>1300</v>
      </c>
      <c r="Y10" s="31">
        <f t="shared" ref="Y10:Y13" si="56">IFERROR((X10-V10)/V10,"")</f>
        <v>0.37917884157286597</v>
      </c>
      <c r="Z10" s="66">
        <f t="shared" ref="Z10:Z13" si="57">(X10-W10)/W10</f>
        <v>0.31059046069787372</v>
      </c>
      <c r="AA10" s="32">
        <f t="shared" ref="AA10:AA13" si="58">X10*E10</f>
        <v>7488000</v>
      </c>
      <c r="AB10" s="32">
        <f t="shared" ref="AB10:AB13" si="59">IFERROR(V10*E10,"")</f>
        <v>5429317.6303809965</v>
      </c>
      <c r="AC10" s="64">
        <f t="shared" ref="AC10:AC11" si="60">W10*E10</f>
        <v>5713455.2894675657</v>
      </c>
      <c r="AD10" s="21"/>
      <c r="AE10" s="21"/>
    </row>
    <row r="11" spans="1:1025" ht="15.75" x14ac:dyDescent="0.25">
      <c r="A11" s="72" t="s">
        <v>48</v>
      </c>
      <c r="B11" s="68" t="s">
        <v>49</v>
      </c>
      <c r="C11" s="69" t="s">
        <v>50</v>
      </c>
      <c r="D11" s="70">
        <v>4</v>
      </c>
      <c r="E11" s="25">
        <v>632</v>
      </c>
      <c r="F11" s="25">
        <f>E11*D11</f>
        <v>2528</v>
      </c>
      <c r="G11" s="25"/>
      <c r="H11" s="25"/>
      <c r="I11" s="25">
        <v>4</v>
      </c>
      <c r="J11" s="25">
        <f t="shared" si="0"/>
        <v>158</v>
      </c>
      <c r="K11" s="26">
        <v>25</v>
      </c>
      <c r="L11" s="26">
        <f>K11+17/O11</f>
        <v>25.226666666666667</v>
      </c>
      <c r="M11" s="26">
        <f t="shared" si="24"/>
        <v>15800</v>
      </c>
      <c r="N11" s="27">
        <f t="shared" si="11"/>
        <v>2376.3199999999997</v>
      </c>
      <c r="O11" s="23">
        <v>75</v>
      </c>
      <c r="P11" s="28">
        <f>K11*O11</f>
        <v>1875</v>
      </c>
      <c r="Q11" s="28">
        <f t="shared" si="50"/>
        <v>1185000</v>
      </c>
      <c r="R11" s="28">
        <f t="shared" si="51"/>
        <v>404092.0716112532</v>
      </c>
      <c r="S11" s="28">
        <f t="shared" si="52"/>
        <v>190609.71633518094</v>
      </c>
      <c r="T11" s="28">
        <f t="shared" si="53"/>
        <v>5666.7753505053788</v>
      </c>
      <c r="U11" s="28">
        <f t="shared" si="54"/>
        <v>1785368.5632969395</v>
      </c>
      <c r="V11" s="29">
        <f t="shared" si="22"/>
        <v>2824.9502583812332</v>
      </c>
      <c r="W11" s="65">
        <f t="shared" si="55"/>
        <v>2883.4863985119737</v>
      </c>
      <c r="X11" s="30">
        <v>3800</v>
      </c>
      <c r="Y11" s="31">
        <f t="shared" si="56"/>
        <v>0.34515642840999777</v>
      </c>
      <c r="Z11" s="66">
        <f t="shared" si="57"/>
        <v>0.31784911555712353</v>
      </c>
      <c r="AA11" s="32">
        <f t="shared" si="58"/>
        <v>2401600</v>
      </c>
      <c r="AB11" s="32">
        <f t="shared" si="59"/>
        <v>1785368.5632969395</v>
      </c>
      <c r="AC11" s="64">
        <f t="shared" si="60"/>
        <v>1822363.4038595674</v>
      </c>
      <c r="AD11" s="21"/>
      <c r="AE11" s="21"/>
    </row>
    <row r="12" spans="1:1025" ht="15.75" x14ac:dyDescent="0.25">
      <c r="A12" s="72" t="s">
        <v>52</v>
      </c>
      <c r="B12" s="68" t="s">
        <v>53</v>
      </c>
      <c r="C12" s="69" t="s">
        <v>54</v>
      </c>
      <c r="D12" s="70">
        <v>1</v>
      </c>
      <c r="E12" s="25">
        <v>1440</v>
      </c>
      <c r="F12" s="25">
        <f>E12*D12</f>
        <v>1440</v>
      </c>
      <c r="G12" s="25"/>
      <c r="H12" s="25"/>
      <c r="I12" s="25">
        <v>12</v>
      </c>
      <c r="J12" s="25">
        <f t="shared" si="0"/>
        <v>120</v>
      </c>
      <c r="K12" s="26">
        <v>5.9</v>
      </c>
      <c r="L12" s="26"/>
      <c r="M12" s="26">
        <f t="shared" si="24"/>
        <v>8496</v>
      </c>
      <c r="N12" s="27">
        <f t="shared" si="11"/>
        <v>1353.6</v>
      </c>
      <c r="O12" s="23">
        <v>75</v>
      </c>
      <c r="P12" s="28">
        <f>K12*O12</f>
        <v>442.5</v>
      </c>
      <c r="Q12" s="28">
        <f t="shared" si="50"/>
        <v>637200</v>
      </c>
      <c r="R12" s="28">
        <f t="shared" si="51"/>
        <v>217289.00255754477</v>
      </c>
      <c r="S12" s="28">
        <f t="shared" si="52"/>
        <v>108575.15487447016</v>
      </c>
      <c r="T12" s="28">
        <f t="shared" si="53"/>
        <v>3227.9100097815449</v>
      </c>
      <c r="U12" s="28">
        <f t="shared" si="54"/>
        <v>966292.06744179653</v>
      </c>
      <c r="V12" s="29">
        <f t="shared" si="22"/>
        <v>671.03615794569203</v>
      </c>
      <c r="W12" s="65">
        <f t="shared" si="55"/>
        <v>680.50279004882577</v>
      </c>
      <c r="X12" s="30">
        <v>830</v>
      </c>
      <c r="Y12" s="31">
        <f t="shared" si="56"/>
        <v>0.23689310951731629</v>
      </c>
      <c r="Z12" s="66">
        <f t="shared" si="57"/>
        <v>0.21968640266772141</v>
      </c>
      <c r="AA12" s="32">
        <f t="shared" si="58"/>
        <v>1195200</v>
      </c>
      <c r="AB12" s="32">
        <f t="shared" si="59"/>
        <v>966292.06744179653</v>
      </c>
      <c r="AC12" s="64"/>
      <c r="AD12" s="21"/>
      <c r="AE12" s="21"/>
    </row>
    <row r="13" spans="1:1025" ht="15.75" x14ac:dyDescent="0.25">
      <c r="A13" s="72" t="s">
        <v>55</v>
      </c>
      <c r="B13" s="68" t="s">
        <v>26</v>
      </c>
      <c r="C13" s="69" t="s">
        <v>56</v>
      </c>
      <c r="D13" s="70">
        <v>1</v>
      </c>
      <c r="E13" s="25">
        <v>336</v>
      </c>
      <c r="F13" s="25">
        <f>E13*D13</f>
        <v>336</v>
      </c>
      <c r="G13" s="25"/>
      <c r="H13" s="25"/>
      <c r="I13" s="25">
        <v>12</v>
      </c>
      <c r="J13" s="25">
        <f t="shared" si="0"/>
        <v>28</v>
      </c>
      <c r="K13" s="26">
        <v>4.5</v>
      </c>
      <c r="L13" s="26"/>
      <c r="M13" s="26">
        <f t="shared" si="24"/>
        <v>1512</v>
      </c>
      <c r="N13" s="27">
        <f t="shared" si="11"/>
        <v>315.83999999999997</v>
      </c>
      <c r="O13" s="23">
        <v>75</v>
      </c>
      <c r="P13" s="28">
        <f>K13*O13</f>
        <v>337.5</v>
      </c>
      <c r="Q13" s="28">
        <f t="shared" si="50"/>
        <v>113400</v>
      </c>
      <c r="R13" s="28">
        <f t="shared" si="51"/>
        <v>38670.076726342711</v>
      </c>
      <c r="S13" s="28">
        <f t="shared" si="52"/>
        <v>25334.202804043038</v>
      </c>
      <c r="T13" s="28">
        <f t="shared" si="53"/>
        <v>753.17900228236056</v>
      </c>
      <c r="U13" s="28">
        <f t="shared" si="54"/>
        <v>178157.45853266813</v>
      </c>
      <c r="V13" s="29">
        <f t="shared" si="22"/>
        <v>530.23053134722659</v>
      </c>
      <c r="W13" s="65">
        <f t="shared" si="55"/>
        <v>519.0275517321553</v>
      </c>
      <c r="X13" s="30">
        <v>830</v>
      </c>
      <c r="Y13" s="31">
        <f t="shared" si="56"/>
        <v>0.56535686070568136</v>
      </c>
      <c r="Z13" s="66">
        <f t="shared" si="57"/>
        <v>0.5991443946087901</v>
      </c>
      <c r="AA13" s="32">
        <f t="shared" si="58"/>
        <v>278880</v>
      </c>
      <c r="AB13" s="32">
        <f t="shared" si="59"/>
        <v>178157.45853266813</v>
      </c>
      <c r="AC13" s="64"/>
      <c r="AD13" s="21"/>
      <c r="AE13" s="21"/>
    </row>
    <row r="14" spans="1:1025" ht="15.75" x14ac:dyDescent="0.25">
      <c r="A14" s="46"/>
      <c r="B14" s="47"/>
      <c r="C14" s="48"/>
      <c r="D14" s="49"/>
      <c r="E14" s="49"/>
      <c r="F14" s="49"/>
      <c r="G14" s="49"/>
      <c r="H14" s="49"/>
      <c r="I14" s="49"/>
      <c r="J14" s="49"/>
      <c r="K14" s="49"/>
      <c r="L14" s="50"/>
      <c r="M14" s="50"/>
      <c r="N14" s="57"/>
      <c r="O14" s="47"/>
      <c r="P14" s="51"/>
      <c r="Q14" s="51"/>
      <c r="R14" s="51"/>
      <c r="S14" s="51"/>
      <c r="T14" s="33"/>
      <c r="U14" s="51"/>
      <c r="V14" s="52"/>
      <c r="W14" s="52"/>
      <c r="X14" s="57"/>
      <c r="Y14" s="53"/>
      <c r="Z14" s="53"/>
      <c r="AA14" s="61">
        <f>SUM(AA2:AA12)</f>
        <v>23263960</v>
      </c>
      <c r="AB14" s="61">
        <f>SUM(AB2:AB13)</f>
        <v>17477901.150895141</v>
      </c>
      <c r="AC14" s="64">
        <f>SUM(AC2:AC11)</f>
        <v>16704613.403859567</v>
      </c>
      <c r="AD14" s="21"/>
      <c r="AE14" s="21"/>
    </row>
    <row r="15" spans="1:1025" ht="15.75" x14ac:dyDescent="0.25">
      <c r="A15" s="46"/>
      <c r="B15" s="47"/>
      <c r="C15" s="48"/>
      <c r="D15" s="49"/>
      <c r="E15" s="49"/>
      <c r="F15" s="49"/>
      <c r="G15" s="49"/>
      <c r="H15" s="49"/>
      <c r="I15" s="49"/>
      <c r="J15" s="49"/>
      <c r="K15" s="49"/>
      <c r="L15" s="50"/>
      <c r="M15" s="50"/>
      <c r="N15" s="57"/>
      <c r="O15" s="47"/>
      <c r="P15" s="51"/>
      <c r="Q15" s="51"/>
      <c r="R15" s="51"/>
      <c r="S15" s="51"/>
      <c r="T15" s="33"/>
      <c r="U15" s="51"/>
      <c r="V15" s="52"/>
      <c r="W15" s="52"/>
      <c r="X15" s="57"/>
      <c r="Y15" s="53"/>
      <c r="Z15" s="53"/>
      <c r="AA15" s="54"/>
      <c r="AB15" s="54"/>
      <c r="AC15" s="21"/>
      <c r="AD15" s="21"/>
      <c r="AE15" s="21"/>
    </row>
    <row r="16" spans="1:1025" ht="15.75" x14ac:dyDescent="0.25">
      <c r="A16" s="46"/>
      <c r="B16" s="47"/>
      <c r="C16" s="48"/>
      <c r="D16" s="49"/>
      <c r="E16" s="49"/>
      <c r="F16" s="49"/>
      <c r="G16" s="49"/>
      <c r="H16" s="49"/>
      <c r="I16" s="49"/>
      <c r="J16" s="49"/>
      <c r="K16" s="49"/>
      <c r="L16" s="50"/>
      <c r="M16" s="50"/>
      <c r="N16" s="57"/>
      <c r="O16" s="47"/>
      <c r="P16" s="51"/>
      <c r="Q16" s="51"/>
      <c r="R16" s="51"/>
      <c r="S16" s="51"/>
      <c r="T16" s="33"/>
      <c r="U16" s="51"/>
      <c r="V16" s="52"/>
      <c r="W16" s="52"/>
      <c r="X16" s="57"/>
      <c r="Y16" s="53"/>
      <c r="Z16" s="53"/>
      <c r="AA16" s="54"/>
      <c r="AB16" s="54"/>
      <c r="AC16" s="21"/>
      <c r="AD16" s="21"/>
      <c r="AE16" s="21"/>
    </row>
    <row r="17" spans="1:1025" ht="15.75" x14ac:dyDescent="0.25">
      <c r="A17" s="34"/>
      <c r="B17" s="35"/>
      <c r="C17" s="35"/>
      <c r="D17" s="36"/>
      <c r="E17" s="37">
        <f>SUM(E2:E13)</f>
        <v>13520</v>
      </c>
      <c r="F17" s="37"/>
      <c r="G17" s="37"/>
      <c r="H17" s="37"/>
      <c r="I17" s="38"/>
      <c r="J17" s="37">
        <f>SUM(J2:J13)</f>
        <v>1892</v>
      </c>
      <c r="K17" s="37"/>
      <c r="L17" s="38"/>
      <c r="M17" s="59">
        <f>SUMIF(M2:M10,"&lt;&gt;#ДЕЛ/0!")</f>
        <v>129030</v>
      </c>
      <c r="N17" s="60">
        <f>SUM(N2:N13)</f>
        <v>23063.84</v>
      </c>
      <c r="P17" s="7"/>
      <c r="Q17" s="39">
        <f>SUMIF(Q2:Q10,"&lt;&gt;#ДЕЛ/0!")</f>
        <v>9677250</v>
      </c>
      <c r="R17" s="39">
        <f>SUMIF(R2:R10,"&lt;&gt;#ДЕЛ/0!")</f>
        <v>3300000</v>
      </c>
      <c r="S17" s="39">
        <f>SUMIF(S2:S10,"&lt;&gt;#ДЕЛ/0!")</f>
        <v>1525480.9259863056</v>
      </c>
      <c r="T17" s="39">
        <f>SUMIF(T2:T10,"&lt;&gt;#ДЕЛ/0!")</f>
        <v>45352.135637430707</v>
      </c>
      <c r="U17" s="39">
        <f>SUMIF(U2:U10,"&lt;&gt;#ДЕЛ/0!")</f>
        <v>14548083.061623737</v>
      </c>
      <c r="V17" s="40"/>
      <c r="W17" s="40"/>
      <c r="X17" s="21"/>
      <c r="AB17" s="21"/>
      <c r="AC17" s="21"/>
      <c r="AD17" s="21"/>
      <c r="AE17" s="21"/>
      <c r="AMJ17" s="5"/>
      <c r="AMK17" s="5"/>
    </row>
    <row r="18" spans="1:1025" ht="30" x14ac:dyDescent="0.25">
      <c r="A18" s="71" t="s">
        <v>47</v>
      </c>
      <c r="M18" s="55" t="s">
        <v>23</v>
      </c>
      <c r="N18" s="56">
        <f>N17+42*18</f>
        <v>23819.84</v>
      </c>
      <c r="P18" s="7"/>
      <c r="Q18" s="41" t="s">
        <v>24</v>
      </c>
      <c r="R18" s="41" t="s">
        <v>24</v>
      </c>
      <c r="S18" s="41" t="s">
        <v>24</v>
      </c>
      <c r="T18" s="41" t="s">
        <v>24</v>
      </c>
      <c r="U18" s="42"/>
      <c r="AA18" s="62" t="s">
        <v>25</v>
      </c>
      <c r="AB18" s="63">
        <f>(AA14-AB14)/AB14</f>
        <v>0.33104998129643975</v>
      </c>
    </row>
    <row r="19" spans="1:1025" ht="15.75" x14ac:dyDescent="0.25">
      <c r="M19" s="6"/>
      <c r="N19" s="6"/>
      <c r="Q19" s="43">
        <f>M17*O2</f>
        <v>9677250</v>
      </c>
      <c r="R19" s="43">
        <v>3300000</v>
      </c>
      <c r="S19" s="44">
        <v>1850000</v>
      </c>
      <c r="T19" s="44">
        <f>40000+15000</f>
        <v>55000</v>
      </c>
      <c r="U19" s="43">
        <f>Q19+R19+S19+T19</f>
        <v>14882250</v>
      </c>
    </row>
    <row r="20" spans="1:1025" x14ac:dyDescent="0.2">
      <c r="M20" s="6"/>
      <c r="N20" s="6"/>
      <c r="O20" s="5"/>
      <c r="R20" s="5"/>
      <c r="S20" s="5"/>
      <c r="T20" s="5"/>
      <c r="U20" s="5"/>
    </row>
    <row r="21" spans="1:1025" x14ac:dyDescent="0.2">
      <c r="M21" s="6"/>
      <c r="N21" s="6"/>
      <c r="O21" s="5"/>
      <c r="R21" s="5"/>
      <c r="S21" s="5"/>
      <c r="T21" s="5"/>
      <c r="U21" s="5"/>
      <c r="AC21" s="67"/>
    </row>
    <row r="22" spans="1:1025" x14ac:dyDescent="0.2">
      <c r="M22" s="6"/>
      <c r="N22" s="6"/>
      <c r="O22" s="5"/>
      <c r="R22" s="5"/>
      <c r="S22" s="5"/>
      <c r="T22" s="5"/>
      <c r="U22" s="5"/>
    </row>
    <row r="23" spans="1:1025" x14ac:dyDescent="0.2">
      <c r="M23" s="6"/>
      <c r="N23" s="6"/>
      <c r="O23" s="5"/>
      <c r="R23" s="45"/>
      <c r="S23" s="5"/>
      <c r="T23" s="5"/>
      <c r="U23" s="5"/>
    </row>
    <row r="24" spans="1:1025" x14ac:dyDescent="0.2">
      <c r="M24" s="6"/>
      <c r="N24" s="6"/>
      <c r="O24" s="5"/>
      <c r="R24" s="5"/>
      <c r="S24" s="5"/>
      <c r="T24" s="5"/>
      <c r="U24" s="5"/>
    </row>
    <row r="25" spans="1:1025" x14ac:dyDescent="0.2">
      <c r="O25" s="5"/>
      <c r="R25" s="5"/>
      <c r="S25" s="5"/>
      <c r="T25" s="5"/>
      <c r="U25" s="5"/>
    </row>
    <row r="26" spans="1:1025" x14ac:dyDescent="0.2">
      <c r="O26" s="5"/>
      <c r="R26" s="5"/>
      <c r="S26" s="5"/>
      <c r="T26" s="5"/>
      <c r="U26" s="5"/>
    </row>
    <row r="27" spans="1:1025" x14ac:dyDescent="0.2">
      <c r="O27" s="5"/>
      <c r="R27" s="5"/>
      <c r="S27" s="5"/>
      <c r="T27" s="5"/>
      <c r="U27" s="5"/>
    </row>
    <row r="28" spans="1:1025" x14ac:dyDescent="0.2">
      <c r="O28" s="5"/>
      <c r="R28" s="5"/>
      <c r="S28" s="5"/>
      <c r="T28" s="5"/>
      <c r="U28" s="5"/>
    </row>
    <row r="29" spans="1:1025" x14ac:dyDescent="0.2">
      <c r="O29" s="5"/>
      <c r="R29" s="5"/>
      <c r="S29" s="5"/>
      <c r="T29" s="5"/>
      <c r="U29" s="5"/>
    </row>
    <row r="30" spans="1:1025" x14ac:dyDescent="0.2">
      <c r="M30" s="7">
        <f>M17*3.67</f>
        <v>473540.1</v>
      </c>
      <c r="O30" s="5"/>
      <c r="R30" s="5"/>
      <c r="S30" s="5"/>
      <c r="T30" s="5"/>
      <c r="U30" s="5"/>
    </row>
    <row r="31" spans="1:1025" x14ac:dyDescent="0.2">
      <c r="O31" s="5"/>
      <c r="R31" s="5"/>
      <c r="S31" s="5"/>
      <c r="T31" s="5"/>
      <c r="U31" s="5"/>
    </row>
    <row r="32" spans="1:1025" x14ac:dyDescent="0.2">
      <c r="O32" s="5"/>
      <c r="R32" s="5"/>
      <c r="S32" s="5"/>
      <c r="T32" s="5"/>
      <c r="U32" s="5"/>
    </row>
    <row r="33" spans="15:21" x14ac:dyDescent="0.2">
      <c r="O33" s="5"/>
      <c r="R33" s="5"/>
      <c r="S33" s="5"/>
      <c r="T33" s="5"/>
      <c r="U33" s="5"/>
    </row>
    <row r="34" spans="15:21" x14ac:dyDescent="0.2">
      <c r="O34" s="5"/>
      <c r="R34" s="5"/>
      <c r="S34" s="5"/>
      <c r="T34" s="5"/>
      <c r="U34" s="5"/>
    </row>
    <row r="35" spans="15:21" x14ac:dyDescent="0.2">
      <c r="O35" s="5"/>
      <c r="R35" s="5"/>
      <c r="S35" s="5"/>
      <c r="T35" s="5"/>
      <c r="U35" s="5"/>
    </row>
    <row r="36" spans="15:21" x14ac:dyDescent="0.2">
      <c r="O36" s="5"/>
      <c r="R36" s="5"/>
      <c r="S36" s="5"/>
      <c r="T36" s="5"/>
      <c r="U36" s="5"/>
    </row>
    <row r="37" spans="15:21" x14ac:dyDescent="0.2">
      <c r="O37" s="5"/>
      <c r="R37" s="5"/>
      <c r="S37" s="5"/>
      <c r="T37" s="5"/>
      <c r="U37" s="5"/>
    </row>
    <row r="38" spans="15:21" x14ac:dyDescent="0.2">
      <c r="O38" s="5"/>
      <c r="R38" s="5"/>
      <c r="S38" s="5"/>
      <c r="T38" s="5"/>
      <c r="U38" s="5"/>
    </row>
    <row r="39" spans="15:21" x14ac:dyDescent="0.2">
      <c r="O39" s="5"/>
      <c r="R39" s="5"/>
      <c r="S39" s="5"/>
      <c r="T39" s="5"/>
      <c r="U39" s="5"/>
    </row>
  </sheetData>
  <conditionalFormatting sqref="Y19:Z1048576 Y1:Z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C031C-34C6-4693-8808-CB575DA1DE33}">
  <dimension ref="A1:J13"/>
  <sheetViews>
    <sheetView topLeftCell="B1" workbookViewId="0">
      <selection activeCell="F22" sqref="F22"/>
    </sheetView>
  </sheetViews>
  <sheetFormatPr defaultColWidth="34.140625" defaultRowHeight="12.75" x14ac:dyDescent="0.2"/>
  <sheetData>
    <row r="1" spans="1:10" ht="31.5" x14ac:dyDescent="0.2">
      <c r="A1" s="9" t="s">
        <v>51</v>
      </c>
      <c r="B1" s="10" t="s">
        <v>0</v>
      </c>
      <c r="C1" s="10" t="s">
        <v>1</v>
      </c>
      <c r="D1" s="11" t="s">
        <v>2</v>
      </c>
      <c r="E1" s="12" t="s">
        <v>3</v>
      </c>
      <c r="F1" s="12" t="s">
        <v>43</v>
      </c>
      <c r="G1" s="10" t="s">
        <v>4</v>
      </c>
      <c r="H1" s="10" t="s">
        <v>5</v>
      </c>
      <c r="I1" s="10" t="s">
        <v>6</v>
      </c>
    </row>
    <row r="2" spans="1:10" ht="27" customHeight="1" x14ac:dyDescent="0.2">
      <c r="A2" s="72" t="s">
        <v>35</v>
      </c>
      <c r="B2" s="23" t="s">
        <v>36</v>
      </c>
      <c r="C2" s="24" t="s">
        <v>34</v>
      </c>
      <c r="D2" s="25">
        <v>1</v>
      </c>
      <c r="E2" s="25">
        <v>720</v>
      </c>
      <c r="F2" s="25">
        <f>E2*D2</f>
        <v>720</v>
      </c>
      <c r="G2" s="25">
        <v>12</v>
      </c>
      <c r="H2" s="25">
        <f>E2/G2</f>
        <v>60</v>
      </c>
      <c r="I2" s="26">
        <v>7.53</v>
      </c>
      <c r="J2" s="75">
        <f>I2*3.67</f>
        <v>27.635100000000001</v>
      </c>
    </row>
    <row r="3" spans="1:10" ht="27" customHeight="1" x14ac:dyDescent="0.2">
      <c r="A3" s="72" t="s">
        <v>33</v>
      </c>
      <c r="B3" s="23" t="s">
        <v>36</v>
      </c>
      <c r="C3" s="24" t="s">
        <v>37</v>
      </c>
      <c r="D3" s="25">
        <v>5</v>
      </c>
      <c r="E3" s="25">
        <f>720-240-120</f>
        <v>360</v>
      </c>
      <c r="F3" s="25">
        <f t="shared" ref="F3:F10" si="0">E3*D3</f>
        <v>1800</v>
      </c>
      <c r="G3" s="25">
        <v>3</v>
      </c>
      <c r="H3" s="25">
        <f>E3/G3</f>
        <v>120</v>
      </c>
      <c r="I3" s="26">
        <v>35.93</v>
      </c>
      <c r="J3" s="75">
        <f t="shared" ref="J3:J13" si="1">I3*3.67</f>
        <v>131.8631</v>
      </c>
    </row>
    <row r="4" spans="1:10" ht="27" customHeight="1" x14ac:dyDescent="0.2">
      <c r="A4" s="72" t="s">
        <v>31</v>
      </c>
      <c r="B4" s="23" t="s">
        <v>36</v>
      </c>
      <c r="C4" s="24" t="s">
        <v>38</v>
      </c>
      <c r="D4" s="25">
        <v>5</v>
      </c>
      <c r="E4" s="25">
        <f>720-120</f>
        <v>600</v>
      </c>
      <c r="F4" s="25">
        <f t="shared" si="0"/>
        <v>3000</v>
      </c>
      <c r="G4" s="25">
        <v>3</v>
      </c>
      <c r="H4" s="25">
        <f>E4/G4</f>
        <v>200</v>
      </c>
      <c r="I4" s="26">
        <v>28.94</v>
      </c>
      <c r="J4" s="75">
        <f t="shared" si="1"/>
        <v>106.2098</v>
      </c>
    </row>
    <row r="5" spans="1:10" ht="27" customHeight="1" x14ac:dyDescent="0.2">
      <c r="A5" s="72" t="s">
        <v>32</v>
      </c>
      <c r="B5" s="23" t="s">
        <v>36</v>
      </c>
      <c r="C5" s="24" t="s">
        <v>39</v>
      </c>
      <c r="D5" s="25">
        <v>1</v>
      </c>
      <c r="E5" s="25">
        <v>720</v>
      </c>
      <c r="F5" s="25">
        <f t="shared" si="0"/>
        <v>720</v>
      </c>
      <c r="G5" s="25">
        <v>12</v>
      </c>
      <c r="H5" s="25">
        <f>E5/G5</f>
        <v>60</v>
      </c>
      <c r="I5" s="26">
        <v>5.99</v>
      </c>
      <c r="J5" s="75">
        <f t="shared" si="1"/>
        <v>21.9833</v>
      </c>
    </row>
    <row r="6" spans="1:10" ht="27" customHeight="1" x14ac:dyDescent="0.2">
      <c r="A6" s="72" t="s">
        <v>22</v>
      </c>
      <c r="B6" s="23" t="s">
        <v>21</v>
      </c>
      <c r="C6" s="24" t="s">
        <v>40</v>
      </c>
      <c r="D6" s="25">
        <v>1</v>
      </c>
      <c r="E6" s="25">
        <v>1152</v>
      </c>
      <c r="F6" s="25">
        <f t="shared" si="0"/>
        <v>1152</v>
      </c>
      <c r="G6" s="25">
        <v>12</v>
      </c>
      <c r="H6" s="25">
        <f>E6/G6</f>
        <v>96</v>
      </c>
      <c r="I6" s="26">
        <v>6.9</v>
      </c>
      <c r="J6" s="75">
        <f t="shared" si="1"/>
        <v>25.323</v>
      </c>
    </row>
    <row r="7" spans="1:10" ht="27" customHeight="1" x14ac:dyDescent="0.2">
      <c r="A7" s="72" t="s">
        <v>27</v>
      </c>
      <c r="B7" s="58" t="s">
        <v>26</v>
      </c>
      <c r="C7" s="24" t="s">
        <v>41</v>
      </c>
      <c r="D7" s="25">
        <v>4</v>
      </c>
      <c r="E7" s="25">
        <f>144*10</f>
        <v>1440</v>
      </c>
      <c r="F7" s="25">
        <f t="shared" si="0"/>
        <v>5760</v>
      </c>
      <c r="G7" s="25">
        <v>3</v>
      </c>
      <c r="H7" s="25">
        <f>E7/G7</f>
        <v>480</v>
      </c>
      <c r="I7" s="26">
        <v>15.41</v>
      </c>
      <c r="J7" s="75">
        <f t="shared" si="1"/>
        <v>56.554699999999997</v>
      </c>
    </row>
    <row r="8" spans="1:10" ht="27" customHeight="1" x14ac:dyDescent="0.2">
      <c r="A8" s="72" t="s">
        <v>22</v>
      </c>
      <c r="B8" s="73" t="s">
        <v>21</v>
      </c>
      <c r="C8" s="74" t="s">
        <v>40</v>
      </c>
      <c r="D8" s="25">
        <v>1</v>
      </c>
      <c r="E8" s="25">
        <v>120</v>
      </c>
      <c r="F8" s="25">
        <f t="shared" si="0"/>
        <v>120</v>
      </c>
      <c r="G8" s="25">
        <v>12</v>
      </c>
      <c r="H8" s="25">
        <f>E8/G8</f>
        <v>10</v>
      </c>
      <c r="I8" s="26">
        <v>6.8</v>
      </c>
      <c r="J8" s="75">
        <f t="shared" si="1"/>
        <v>24.956</v>
      </c>
    </row>
    <row r="9" spans="1:10" ht="27" customHeight="1" x14ac:dyDescent="0.2">
      <c r="A9" s="72" t="s">
        <v>33</v>
      </c>
      <c r="B9" s="73" t="s">
        <v>36</v>
      </c>
      <c r="C9" s="74" t="s">
        <v>37</v>
      </c>
      <c r="D9" s="25">
        <v>5</v>
      </c>
      <c r="E9" s="25">
        <v>240</v>
      </c>
      <c r="F9" s="25">
        <f t="shared" si="0"/>
        <v>1200</v>
      </c>
      <c r="G9" s="25">
        <v>3</v>
      </c>
      <c r="H9" s="25">
        <f>E9/G9</f>
        <v>80</v>
      </c>
      <c r="I9" s="26">
        <v>35.44</v>
      </c>
      <c r="J9" s="75">
        <f t="shared" si="1"/>
        <v>130.06479999999999</v>
      </c>
    </row>
    <row r="10" spans="1:10" ht="27" customHeight="1" x14ac:dyDescent="0.2">
      <c r="A10" s="72" t="s">
        <v>45</v>
      </c>
      <c r="B10" s="68" t="s">
        <v>21</v>
      </c>
      <c r="C10" s="69" t="s">
        <v>46</v>
      </c>
      <c r="D10" s="70">
        <v>1</v>
      </c>
      <c r="E10" s="25">
        <v>5760</v>
      </c>
      <c r="F10" s="25">
        <f t="shared" si="0"/>
        <v>5760</v>
      </c>
      <c r="G10" s="25">
        <v>12</v>
      </c>
      <c r="H10" s="25">
        <f>E10/G10</f>
        <v>480</v>
      </c>
      <c r="I10" s="26">
        <v>8.6</v>
      </c>
      <c r="J10" s="75">
        <f t="shared" si="1"/>
        <v>31.561999999999998</v>
      </c>
    </row>
    <row r="11" spans="1:10" ht="27" customHeight="1" x14ac:dyDescent="0.2">
      <c r="A11" s="72" t="s">
        <v>48</v>
      </c>
      <c r="B11" s="68" t="s">
        <v>49</v>
      </c>
      <c r="C11" s="69" t="s">
        <v>50</v>
      </c>
      <c r="D11" s="70">
        <v>4</v>
      </c>
      <c r="E11" s="25">
        <v>632</v>
      </c>
      <c r="F11" s="25">
        <f>E11*D11</f>
        <v>2528</v>
      </c>
      <c r="G11" s="25">
        <v>4</v>
      </c>
      <c r="H11" s="25">
        <f>E11/G11</f>
        <v>158</v>
      </c>
      <c r="I11" s="26">
        <v>25</v>
      </c>
      <c r="J11" s="75">
        <f t="shared" si="1"/>
        <v>91.75</v>
      </c>
    </row>
    <row r="12" spans="1:10" ht="27" customHeight="1" x14ac:dyDescent="0.2">
      <c r="A12" s="72" t="s">
        <v>52</v>
      </c>
      <c r="B12" s="68" t="s">
        <v>53</v>
      </c>
      <c r="C12" s="69" t="s">
        <v>54</v>
      </c>
      <c r="D12" s="70">
        <v>1</v>
      </c>
      <c r="E12" s="25">
        <v>1440</v>
      </c>
      <c r="F12" s="25">
        <f>E12*D12</f>
        <v>1440</v>
      </c>
      <c r="G12" s="25">
        <v>12</v>
      </c>
      <c r="H12" s="25">
        <f>E12/G12</f>
        <v>120</v>
      </c>
      <c r="I12" s="26">
        <v>5.9</v>
      </c>
      <c r="J12" s="75">
        <f t="shared" si="1"/>
        <v>21.653000000000002</v>
      </c>
    </row>
    <row r="13" spans="1:10" ht="27" customHeight="1" x14ac:dyDescent="0.2">
      <c r="A13" s="72" t="s">
        <v>55</v>
      </c>
      <c r="B13" s="68" t="s">
        <v>26</v>
      </c>
      <c r="C13" s="69" t="s">
        <v>56</v>
      </c>
      <c r="D13" s="70">
        <v>1</v>
      </c>
      <c r="E13" s="25">
        <v>336</v>
      </c>
      <c r="F13" s="25">
        <f>E13*D13</f>
        <v>336</v>
      </c>
      <c r="G13" s="25">
        <v>12</v>
      </c>
      <c r="H13" s="25">
        <f>E13/G13</f>
        <v>28</v>
      </c>
      <c r="I13" s="26">
        <v>4.5</v>
      </c>
      <c r="J13" s="75">
        <f t="shared" si="1"/>
        <v>16.515000000000001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ФПЗ_Э10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Макс Шалабаев</dc:creator>
  <dc:description/>
  <cp:lastModifiedBy>Vladislav Zinovyev</cp:lastModifiedBy>
  <cp:revision>62</cp:revision>
  <dcterms:created xsi:type="dcterms:W3CDTF">2024-10-07T18:09:28Z</dcterms:created>
  <dcterms:modified xsi:type="dcterms:W3CDTF">2026-06-23T12:11:00Z</dcterms:modified>
  <dc:language>ru-RU</dc:language>
</cp:coreProperties>
</file>