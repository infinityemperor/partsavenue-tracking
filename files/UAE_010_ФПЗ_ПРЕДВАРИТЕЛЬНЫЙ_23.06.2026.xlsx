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10_APMG\"/>
    </mc:Choice>
  </mc:AlternateContent>
  <xr:revisionPtr revIDLastSave="0" documentId="13_ncr:1_{623B464A-1F11-4B41-8E72-C2F6C469F152}" xr6:coauthVersionLast="47" xr6:coauthVersionMax="47" xr10:uidLastSave="{00000000-0000-0000-0000-000000000000}"/>
  <bookViews>
    <workbookView xWindow="2880" yWindow="1830" windowWidth="35295" windowHeight="18060" activeTab="1" xr2:uid="{00000000-000D-0000-FFFF-FFFF00000000}"/>
  </bookViews>
  <sheets>
    <sheet name="ФПЗ_Э10" sheetId="1" r:id="rId1"/>
    <sheet name="Sheet2" sheetId="3" r:id="rId2"/>
    <sheet name="Sheet1" sheetId="2" r:id="rId3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3" l="1"/>
  <c r="M4" i="3"/>
  <c r="M5" i="3"/>
  <c r="M6" i="3"/>
  <c r="M7" i="3"/>
  <c r="M8" i="3"/>
  <c r="M9" i="3"/>
  <c r="M10" i="3"/>
  <c r="M11" i="3"/>
  <c r="M2" i="3"/>
  <c r="J14" i="3"/>
  <c r="J2" i="3"/>
  <c r="J13" i="3"/>
  <c r="F13" i="3"/>
  <c r="J12" i="3"/>
  <c r="F12" i="3"/>
  <c r="J11" i="3"/>
  <c r="F11" i="3"/>
  <c r="J10" i="3"/>
  <c r="F10" i="3"/>
  <c r="J9" i="3"/>
  <c r="F9" i="3"/>
  <c r="J8" i="3"/>
  <c r="F8" i="3"/>
  <c r="J7" i="3"/>
  <c r="F7" i="3"/>
  <c r="E7" i="3"/>
  <c r="J6" i="3"/>
  <c r="F6" i="3"/>
  <c r="J5" i="3"/>
  <c r="F5" i="3"/>
  <c r="J4" i="3"/>
  <c r="F4" i="3"/>
  <c r="E4" i="3"/>
  <c r="J3" i="3"/>
  <c r="F3" i="3"/>
  <c r="E3" i="3"/>
  <c r="F2" i="3"/>
  <c r="J3" i="2"/>
  <c r="J4" i="2"/>
  <c r="J5" i="2"/>
  <c r="J6" i="2"/>
  <c r="J7" i="2"/>
  <c r="J8" i="2"/>
  <c r="J9" i="2"/>
  <c r="J10" i="2"/>
  <c r="J11" i="2"/>
  <c r="J12" i="2"/>
  <c r="J13" i="2"/>
  <c r="J2" i="2"/>
  <c r="H13" i="2"/>
  <c r="F13" i="2"/>
  <c r="H12" i="2"/>
  <c r="F12" i="2"/>
  <c r="H11" i="2"/>
  <c r="F11" i="2"/>
  <c r="H10" i="2"/>
  <c r="F10" i="2"/>
  <c r="H9" i="2"/>
  <c r="F9" i="2"/>
  <c r="H8" i="2"/>
  <c r="F8" i="2"/>
  <c r="E7" i="2"/>
  <c r="F7" i="2" s="1"/>
  <c r="H6" i="2"/>
  <c r="F6" i="2"/>
  <c r="H5" i="2"/>
  <c r="F5" i="2"/>
  <c r="E4" i="2"/>
  <c r="F4" i="2" s="1"/>
  <c r="E3" i="2"/>
  <c r="F3" i="2" s="1"/>
  <c r="H2" i="2"/>
  <c r="F2" i="2"/>
  <c r="H7" i="2" l="1"/>
  <c r="H4" i="2"/>
  <c r="H3" i="2"/>
  <c r="AA13" i="1" l="1"/>
  <c r="Z13" i="1"/>
  <c r="Y13" i="1"/>
  <c r="W13" i="1"/>
  <c r="Y12" i="1"/>
  <c r="AA12" i="1"/>
  <c r="AA14" i="1"/>
  <c r="Y11" i="1"/>
  <c r="AA11" i="1"/>
  <c r="Z12" i="1"/>
  <c r="Z11" i="1"/>
  <c r="P13" i="1"/>
  <c r="M13" i="1"/>
  <c r="J13" i="1"/>
  <c r="E17" i="1"/>
  <c r="F13" i="1"/>
  <c r="N13" i="1"/>
  <c r="P12" i="1"/>
  <c r="M12" i="1"/>
  <c r="J12" i="1"/>
  <c r="F12" i="1"/>
  <c r="N12" i="1"/>
  <c r="N5" i="1"/>
  <c r="N8" i="1"/>
  <c r="N9" i="1"/>
  <c r="N10" i="1"/>
  <c r="N11" i="1"/>
  <c r="N2" i="1"/>
  <c r="P11" i="1"/>
  <c r="L11" i="1"/>
  <c r="M11" i="1"/>
  <c r="J11" i="1"/>
  <c r="F11" i="1"/>
  <c r="P7" i="1"/>
  <c r="E7" i="1"/>
  <c r="N7" i="1" s="1"/>
  <c r="P2" i="1"/>
  <c r="P3" i="1"/>
  <c r="E3" i="1"/>
  <c r="N3" i="1" s="1"/>
  <c r="E4" i="1"/>
  <c r="N4" i="1" s="1"/>
  <c r="P10" i="1"/>
  <c r="AA10" i="1"/>
  <c r="L10" i="1"/>
  <c r="M10" i="1"/>
  <c r="J10" i="1"/>
  <c r="F10" i="1"/>
  <c r="AA9" i="1" l="1"/>
  <c r="P9" i="1"/>
  <c r="L9" i="1"/>
  <c r="J9" i="1"/>
  <c r="M9" i="1"/>
  <c r="M3" i="1"/>
  <c r="F9" i="1"/>
  <c r="AA8" i="1"/>
  <c r="P8" i="1"/>
  <c r="M8" i="1"/>
  <c r="L8" i="1"/>
  <c r="J8" i="1"/>
  <c r="F8" i="1"/>
  <c r="P4" i="1"/>
  <c r="P5" i="1"/>
  <c r="P6" i="1"/>
  <c r="F7" i="1"/>
  <c r="F3" i="1"/>
  <c r="F4" i="1"/>
  <c r="F5" i="1"/>
  <c r="F2" i="1"/>
  <c r="M4" i="1"/>
  <c r="M5" i="1"/>
  <c r="M2" i="1"/>
  <c r="J5" i="1"/>
  <c r="T19" i="1"/>
  <c r="M6" i="1" l="1"/>
  <c r="N6" i="1"/>
  <c r="F6" i="1"/>
  <c r="M7" i="1"/>
  <c r="M17" i="1" s="1"/>
  <c r="AA6" i="1"/>
  <c r="AA3" i="1"/>
  <c r="AA4" i="1"/>
  <c r="AA5" i="1"/>
  <c r="AA7" i="1"/>
  <c r="R12" i="1" l="1"/>
  <c r="R13" i="1"/>
  <c r="N17" i="1"/>
  <c r="S12" i="1" s="1"/>
  <c r="Q19" i="1"/>
  <c r="R11" i="1"/>
  <c r="R8" i="1"/>
  <c r="R9" i="1"/>
  <c r="R10" i="1"/>
  <c r="L5" i="1"/>
  <c r="L3" i="1"/>
  <c r="J3" i="1"/>
  <c r="AA2" i="1"/>
  <c r="L4" i="1"/>
  <c r="L6" i="1"/>
  <c r="L7" i="1"/>
  <c r="L2" i="1"/>
  <c r="J4" i="1"/>
  <c r="N18" i="1" l="1"/>
  <c r="S11" i="1"/>
  <c r="Q12" i="1"/>
  <c r="Q13" i="1"/>
  <c r="T12" i="1"/>
  <c r="T13" i="1"/>
  <c r="S13" i="1"/>
  <c r="T11" i="1"/>
  <c r="Q10" i="1"/>
  <c r="Q11" i="1"/>
  <c r="Q9" i="1"/>
  <c r="U19" i="1"/>
  <c r="Q8" i="1"/>
  <c r="J6" i="1"/>
  <c r="J17" i="1" s="1"/>
  <c r="J7" i="1"/>
  <c r="J2" i="1"/>
  <c r="U13" i="1" l="1"/>
  <c r="V13" i="1" s="1"/>
  <c r="AB13" i="1" s="1"/>
  <c r="U11" i="1"/>
  <c r="V11" i="1" s="1"/>
  <c r="AB11" i="1" s="1"/>
  <c r="U12" i="1"/>
  <c r="V12" i="1" s="1"/>
  <c r="AB12" i="1" s="1"/>
  <c r="M30" i="1"/>
  <c r="S10" i="1" l="1"/>
  <c r="S9" i="1"/>
  <c r="T10" i="1"/>
  <c r="T9" i="1"/>
  <c r="T8" i="1"/>
  <c r="S8" i="1"/>
  <c r="U8" i="1" s="1"/>
  <c r="V8" i="1" s="1"/>
  <c r="Q3" i="1"/>
  <c r="Q5" i="1"/>
  <c r="T5" i="1"/>
  <c r="S5" i="1"/>
  <c r="S4" i="1"/>
  <c r="T3" i="1"/>
  <c r="S3" i="1"/>
  <c r="Q2" i="1"/>
  <c r="S2" i="1"/>
  <c r="S17" i="1" s="1"/>
  <c r="T7" i="1"/>
  <c r="Q7" i="1"/>
  <c r="S6" i="1"/>
  <c r="T4" i="1"/>
  <c r="T6" i="1"/>
  <c r="S7" i="1"/>
  <c r="T2" i="1"/>
  <c r="Q4" i="1"/>
  <c r="Q6" i="1"/>
  <c r="U10" i="1" l="1"/>
  <c r="V10" i="1" s="1"/>
  <c r="Y10" i="1" s="1"/>
  <c r="U9" i="1"/>
  <c r="V9" i="1" s="1"/>
  <c r="Q17" i="1"/>
  <c r="T17" i="1"/>
  <c r="AB8" i="1"/>
  <c r="Y8" i="1"/>
  <c r="R5" i="1"/>
  <c r="U5" i="1" s="1"/>
  <c r="V5" i="1" s="1"/>
  <c r="R3" i="1"/>
  <c r="U3" i="1" s="1"/>
  <c r="V3" i="1" s="1"/>
  <c r="R6" i="1"/>
  <c r="U6" i="1" s="1"/>
  <c r="V6" i="1" s="1"/>
  <c r="AB6" i="1" s="1"/>
  <c r="R4" i="1"/>
  <c r="U4" i="1" s="1"/>
  <c r="V4" i="1" s="1"/>
  <c r="R7" i="1"/>
  <c r="U7" i="1" s="1"/>
  <c r="V7" i="1" s="1"/>
  <c r="R2" i="1"/>
  <c r="W11" i="1" l="1"/>
  <c r="AC11" i="1" s="1"/>
  <c r="W12" i="1"/>
  <c r="AB10" i="1"/>
  <c r="Y9" i="1"/>
  <c r="AB9" i="1"/>
  <c r="U2" i="1"/>
  <c r="R17" i="1"/>
  <c r="W8" i="1"/>
  <c r="W10" i="1"/>
  <c r="W9" i="1"/>
  <c r="AC8" i="1"/>
  <c r="Z8" i="1"/>
  <c r="W2" i="1"/>
  <c r="W4" i="1"/>
  <c r="W7" i="1"/>
  <c r="W6" i="1"/>
  <c r="W5" i="1"/>
  <c r="W3" i="1"/>
  <c r="Y5" i="1"/>
  <c r="AB5" i="1"/>
  <c r="Y7" i="1"/>
  <c r="AB7" i="1"/>
  <c r="Y4" i="1"/>
  <c r="AB4" i="1"/>
  <c r="Y3" i="1"/>
  <c r="AB3" i="1"/>
  <c r="Y6" i="1"/>
  <c r="V2" i="1" l="1"/>
  <c r="U17" i="1"/>
  <c r="AC9" i="1"/>
  <c r="Z9" i="1"/>
  <c r="Z10" i="1"/>
  <c r="AC10" i="1"/>
  <c r="AC5" i="1"/>
  <c r="Z5" i="1"/>
  <c r="AC3" i="1"/>
  <c r="Z3" i="1"/>
  <c r="AC6" i="1"/>
  <c r="Z6" i="1"/>
  <c r="AC7" i="1"/>
  <c r="Z7" i="1"/>
  <c r="AC4" i="1"/>
  <c r="Z4" i="1"/>
  <c r="AC2" i="1"/>
  <c r="Z2" i="1"/>
  <c r="AC14" i="1" l="1"/>
  <c r="Y2" i="1"/>
  <c r="AB2" i="1"/>
  <c r="AB14" i="1" s="1"/>
  <c r="AB18" i="1" l="1"/>
</calcChain>
</file>

<file path=xl/sharedStrings.xml><?xml version="1.0" encoding="utf-8"?>
<sst xmlns="http://schemas.openxmlformats.org/spreadsheetml/2006/main" count="172" uniqueCount="57">
  <si>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</si>
  <si>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</si>
  <si>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</si>
  <si>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</si>
  <si>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</si>
  <si>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</si>
  <si>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</si>
  <si>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</si>
  <si>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</si>
  <si>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</si>
  <si>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</si>
  <si>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</si>
  <si>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</si>
  <si>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</si>
  <si>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</si>
  <si>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</si>
  <si>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</si>
  <si>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</si>
  <si>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</si>
  <si>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</si>
  <si>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</si>
  <si>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BMW</t>
  </si>
  <si>
    <t>83212465843</t>
  </si>
  <si>
    <t>Общий вес с паллетами</t>
  </si>
  <si>
    <t>введите</t>
  </si>
  <si>
    <t xml:space="preserve">Ожидаемый % рент. </t>
  </si>
  <si>
    <t>Mitsubishi</t>
  </si>
  <si>
    <t>MZ321232</t>
  </si>
  <si>
    <t>Цена за ШТ (Закупка в валюте поставщика) + КМ</t>
  </si>
  <si>
    <t>До корректировки</t>
  </si>
  <si>
    <t>Разница</t>
  </si>
  <si>
    <t>A000989681013FSEW</t>
  </si>
  <si>
    <t>A000989681011FSEW</t>
  </si>
  <si>
    <t>A000989671013FBDW</t>
  </si>
  <si>
    <t>A000989671011FBDW|Масло моторное|MERCEDES|229.52|5W-30|Синтетическое|Германия|12x1л</t>
  </si>
  <si>
    <t>A000989671011FBDW</t>
  </si>
  <si>
    <t>MERCEDES-BENZ</t>
  </si>
  <si>
    <t>A000989671013FBDW|Масло моторное|MERCEDES|229.52|5W-30|Синтетическое|Германия|3x5л</t>
  </si>
  <si>
    <t>A000989681013FSEW|Масло моторное|MERCEDES|229.5|5W-40|Синтетическое|Германия|3x5л</t>
  </si>
  <si>
    <t>A000989681011FSEW|Масло моторное|MERCEDES|229.5|5W-40|Синтетическое|Германия|12x1л</t>
  </si>
  <si>
    <t>83212465843|Масло моторное|BMW|LL-01|5W-30|Синтетическое|Оман|12x1л</t>
  </si>
  <si>
    <t>MZ321232|Масло моторное|Mitsubishi|GF-6A/SP|5W-30|Синтетическое|ОАЭ|3x4л</t>
  </si>
  <si>
    <t>Новый себес</t>
  </si>
  <si>
    <t>Обзий объем</t>
  </si>
  <si>
    <t>Новая рентабельность</t>
  </si>
  <si>
    <t>83215B5BFA4</t>
  </si>
  <si>
    <t>83212465843|Масло моторное|BMW|LL-04|5W-30|Синтетическое|Германия|12x1л</t>
  </si>
  <si>
    <t>Заказ из ящика №7</t>
  </si>
  <si>
    <t>0888602905</t>
  </si>
  <si>
    <t>TOYOTA</t>
  </si>
  <si>
    <t>0888602905|Масло трансмиссионное CVT|TOYOTA|Fluid FE|Синтетическое|Япония|4x4л</t>
  </si>
  <si>
    <t>Артикул</t>
  </si>
  <si>
    <t>0450000115</t>
  </si>
  <si>
    <t>MOBIS</t>
  </si>
  <si>
    <t>0450000115|Масло трансмиссионное ATF|Hyundai-KIA|SP-IV|Синтетическое|ОАЭ|12x1л</t>
  </si>
  <si>
    <t>MZ321233</t>
  </si>
  <si>
    <t>MZ321233|Масло моторное|Mitsubishi|GF-6A/SP|5W-30|Синтетическое|ОАЭ|12x1л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</si>
</sst>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  <numFmt numFmtId="173" formatCode="#,##0.00\ &quot;₽&quot;"/>
    <numFmt numFmtId="174" formatCode="_-[$$-1009]* #,##0.00_-;\-[$$-1009]* #,##0.00_-;_-[$$-1009]* &quot;-&quot;??_-;_-@_-"/>
  </numFmts>
  <fonts count="15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name val="Arial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83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6" fontId="12" fillId="0" borderId="4" xfId="0" applyNumberFormat="1" applyFont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165" fontId="13" fillId="0" borderId="0" xfId="0" applyNumberFormat="1" applyFont="1" applyBorder="1" applyAlignment="1" applyProtection="1">
      <alignment horizontal="right" vertical="center" wrapText="1"/>
    </xf>
    <xf numFmtId="0" fontId="14" fillId="8" borderId="2" xfId="0" applyFont="1" applyFill="1" applyBorder="1" applyAlignment="1">
      <alignment horizontal="center" vertical="center"/>
    </xf>
    <xf numFmtId="10" fontId="14" fillId="8" borderId="2" xfId="3" applyNumberFormat="1" applyFont="1" applyFill="1" applyBorder="1" applyAlignment="1" applyProtection="1">
      <alignment horizontal="center" vertical="center"/>
    </xf>
    <xf numFmtId="173" fontId="7" fillId="0" borderId="0" xfId="0" applyNumberFormat="1" applyFont="1" applyAlignment="1" applyProtection="1">
      <alignment horizontal="center" wrapText="1"/>
    </xf>
    <xf numFmtId="168" fontId="6" fillId="9" borderId="4" xfId="0" applyNumberFormat="1" applyFont="1" applyFill="1" applyBorder="1" applyAlignment="1" applyProtection="1">
      <alignment horizontal="right" vertical="center" wrapText="1"/>
    </xf>
    <xf numFmtId="169" fontId="1" fillId="9" borderId="4" xfId="3" applyNumberFormat="1" applyFont="1" applyFill="1" applyBorder="1" applyProtection="1"/>
    <xf numFmtId="169" fontId="1" fillId="0" borderId="0" xfId="3" applyNumberFormat="1" applyProtection="1"/>
    <xf numFmtId="166" fontId="7" fillId="0" borderId="4" xfId="0" applyNumberFormat="1" applyFont="1" applyBorder="1" applyAlignment="1">
      <alignment horizontal="center" vertical="center" wrapText="1"/>
    </xf>
    <xf numFmtId="166" fontId="7" fillId="0" borderId="4" xfId="0" applyNumberFormat="1" applyFont="1" applyBorder="1" applyAlignment="1">
      <alignment horizontal="left" vertical="center" wrapText="1"/>
    </xf>
    <xf numFmtId="4" fontId="7" fillId="0" borderId="4" xfId="0" applyNumberFormat="1" applyFont="1" applyBorder="1" applyAlignment="1">
      <alignment horizontal="center" vertical="center" wrapText="1"/>
    </xf>
    <xf numFmtId="49" fontId="2" fillId="10" borderId="0" xfId="0" applyNumberFormat="1" applyFont="1" applyFill="1" applyAlignment="1" applyProtection="1">
      <alignment vertical="center" wrapText="1"/>
    </xf>
    <xf numFmtId="49" fontId="7" fillId="11" borderId="4" xfId="0" applyNumberFormat="1" applyFont="1" applyFill="1" applyBorder="1" applyAlignment="1" applyProtection="1">
      <alignment horizontal="center" vertical="center" wrapText="1"/>
    </xf>
    <xf numFmtId="166" fontId="7" fillId="0" borderId="4" xfId="0" applyNumberFormat="1" applyFont="1" applyFill="1" applyBorder="1" applyAlignment="1" applyProtection="1">
      <alignment horizontal="center" vertical="center" wrapText="1"/>
    </xf>
    <xf numFmtId="166" fontId="7" fillId="0" borderId="4" xfId="0" applyNumberFormat="1" applyFont="1" applyFill="1" applyBorder="1" applyAlignment="1" applyProtection="1">
      <alignment horizontal="left" vertical="center" wrapText="1"/>
    </xf>
    <xf numFmtId="174" fontId="0" fillId="0" borderId="0" xfId="0" applyNumberFormat="1"/>
    <xf numFmtId="49" fontId="7" fillId="0" borderId="4" xfId="0" applyNumberFormat="1" applyFont="1" applyFill="1" applyBorder="1" applyAlignment="1" applyProtection="1">
      <alignment horizontal="center" vertical="center" wrapText="1"/>
    </xf>
    <xf numFmtId="166" fontId="7" fillId="11" borderId="4" xfId="0" applyNumberFormat="1" applyFont="1" applyFill="1" applyBorder="1" applyAlignment="1" applyProtection="1">
      <alignment horizontal="center" vertical="center" wrapText="1"/>
    </xf>
    <xf numFmtId="166" fontId="7" fillId="11" borderId="4" xfId="0" applyNumberFormat="1" applyFont="1" applyFill="1" applyBorder="1" applyAlignment="1" applyProtection="1">
      <alignment horizontal="left" vertical="center" wrapText="1"/>
    </xf>
    <xf numFmtId="4" fontId="7" fillId="11" borderId="4" xfId="0" applyNumberFormat="1" applyFont="1" applyFill="1" applyBorder="1" applyAlignment="1" applyProtection="1">
      <alignment horizontal="center" vertical="center" wrapText="1"/>
    </xf>
    <xf numFmtId="167" fontId="7" fillId="11" borderId="2" xfId="2" applyNumberFormat="1" applyFont="1" applyFill="1" applyBorder="1" applyAlignment="1" applyProtection="1">
      <alignment horizontal="right" vertical="center"/>
    </xf>
    <xf numFmtId="4" fontId="0" fillId="0" borderId="0" xfId="0" applyNumberFormat="1"/>
    <xf numFmtId="0" fontId="0" fillId="8" borderId="0" xfId="0" applyFill="1"/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K39"/>
  <sheetViews>
    <sheetView zoomScaleNormal="100" workbookViewId="0">
      <pane xSplit="5" ySplit="1" topLeftCell="F2" activePane="bottomRight" state="frozen"/>
      <selection sqref="A1:H5"/>
      <selection pane="topRight"/>
      <selection pane="bottomLeft"/>
      <selection pane="bottomRight" sqref="A1:J13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94.85546875" style="2" customWidth="1"/>
    <col min="4" max="4" width="11.7109375" style="3" customWidth="1"/>
    <col min="5" max="8" width="10.85546875" style="4" customWidth="1"/>
    <col min="9" max="9" width="10.42578125" style="5" customWidth="1"/>
    <col min="10" max="10" width="10.7109375" style="6" customWidth="1"/>
    <col min="11" max="12" width="22.28515625" style="6" bestFit="1" customWidth="1"/>
    <col min="13" max="13" width="16.42578125" style="7" customWidth="1"/>
    <col min="14" max="14" width="11.5703125" style="5"/>
    <col min="15" max="15" width="11.5703125" style="7"/>
    <col min="16" max="16" width="12.5703125" style="5" customWidth="1"/>
    <col min="17" max="17" width="18.5703125" style="5" customWidth="1"/>
    <col min="18" max="19" width="17.5703125" style="7" customWidth="1"/>
    <col min="20" max="20" width="14.140625" style="7" customWidth="1"/>
    <col min="21" max="21" width="21.5703125" style="7" customWidth="1"/>
    <col min="22" max="23" width="16" style="5" customWidth="1"/>
    <col min="24" max="24" width="17.5703125" style="5" customWidth="1"/>
    <col min="25" max="26" width="19.140625" style="5" customWidth="1"/>
    <col min="27" max="27" width="34.42578125" style="5" customWidth="1"/>
    <col min="28" max="28" width="28" style="5" customWidth="1"/>
    <col min="29" max="29" width="15.7109375" style="5" customWidth="1"/>
    <col min="30" max="30" width="11.5703125" style="5"/>
    <col min="31" max="31" width="44.140625" style="5" customWidth="1"/>
    <col min="32" max="1023" width="11.5703125" style="5"/>
    <col min="1024" max="1025" width="11.5703125" style="8"/>
  </cols>
  <sheetData>
    <row r="1" spans="1:1025" ht="60.75" customHeight="1" x14ac:dyDescent="0.25">
      <c r="A1" s="9" t="s">
        <v>51</v>
      </c>
      <c r="B1" s="10" t="s">
        <v>0</v>
      </c>
      <c r="C1" s="10" t="s">
        <v>1</v>
      </c>
      <c r="D1" s="11" t="s">
        <v>2</v>
      </c>
      <c r="E1" s="12" t="s">
        <v>3</v>
      </c>
      <c r="F1" s="12" t="s">
        <v>43</v>
      </c>
      <c r="G1" s="12" t="s">
        <v>29</v>
      </c>
      <c r="H1" s="12" t="s">
        <v>30</v>
      </c>
      <c r="I1" s="10" t="s">
        <v>4</v>
      </c>
      <c r="J1" s="10" t="s">
        <v>5</v>
      </c>
      <c r="K1" s="10" t="s">
        <v>6</v>
      </c>
      <c r="L1" s="10" t="s">
        <v>28</v>
      </c>
      <c r="M1" s="13" t="s">
        <v>7</v>
      </c>
      <c r="N1" s="14" t="s">
        <v>8</v>
      </c>
      <c r="O1" s="11" t="s">
        <v>9</v>
      </c>
      <c r="P1" s="15" t="s">
        <v>10</v>
      </c>
      <c r="Q1" s="16" t="s">
        <v>11</v>
      </c>
      <c r="R1" s="17" t="s">
        <v>12</v>
      </c>
      <c r="S1" s="17" t="s">
        <v>13</v>
      </c>
      <c r="T1" s="17" t="s">
        <v>14</v>
      </c>
      <c r="U1" s="17" t="s">
        <v>15</v>
      </c>
      <c r="V1" s="18" t="s">
        <v>16</v>
      </c>
      <c r="W1" s="18" t="s">
        <v>42</v>
      </c>
      <c r="X1" s="19" t="s">
        <v>17</v>
      </c>
      <c r="Y1" s="20" t="s">
        <v>18</v>
      </c>
      <c r="Z1" s="20" t="s">
        <v>44</v>
      </c>
      <c r="AA1" s="20" t="s">
        <v>19</v>
      </c>
      <c r="AB1" s="20" t="s">
        <v>20</v>
      </c>
      <c r="AC1" s="21"/>
      <c r="AD1" s="21"/>
      <c r="AE1" s="21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  <c r="AMI1" s="22"/>
      <c r="AMJ1" s="22"/>
      <c r="AMK1" s="22"/>
    </row>
    <row r="2" spans="1:1025" ht="31.5" x14ac:dyDescent="0.25">
      <c r="A2" s="76" t="s">
        <v>35</v>
      </c>
      <c r="B2" s="23" t="s">
        <v>36</v>
      </c>
      <c r="C2" s="24" t="s">
        <v>34</v>
      </c>
      <c r="D2" s="25">
        <v>1</v>
      </c>
      <c r="E2" s="25">
        <v>720</v>
      </c>
      <c r="F2" s="25">
        <f>E2*D2</f>
        <v>720</v>
      </c>
      <c r="G2" s="25"/>
      <c r="H2" s="25"/>
      <c r="I2" s="25">
        <v>12</v>
      </c>
      <c r="J2" s="25">
        <f t="shared" ref="J2:J13" si="0">E2/I2</f>
        <v>60</v>
      </c>
      <c r="K2" s="26">
        <v>7.53</v>
      </c>
      <c r="L2" s="26">
        <f>K2+17/O2</f>
        <v>7.7566666666666668</v>
      </c>
      <c r="M2" s="26">
        <f>K2*E2</f>
        <v>5421.6</v>
      </c>
      <c r="N2" s="27">
        <f>D2*E2*0.94</f>
        <v>676.8</v>
      </c>
      <c r="O2" s="23">
        <v>75</v>
      </c>
      <c r="P2" s="28">
        <f>K2*O2</f>
        <v>564.75</v>
      </c>
      <c r="Q2" s="28">
        <f t="shared" ref="Q2:Q7" si="1">$Q$19/$M$17*M2</f>
        <v>406620</v>
      </c>
      <c r="R2" s="28">
        <f t="shared" ref="R2:R7" si="2">$R$19/$M$17*M2</f>
        <v>138659.84654731461</v>
      </c>
      <c r="S2" s="28">
        <f t="shared" ref="S2:S7" si="3">$S$19/$N$17*N2</f>
        <v>54287.577437235079</v>
      </c>
      <c r="T2" s="28">
        <f t="shared" ref="T2:T7" si="4">$T$19/$N$17*N2</f>
        <v>1613.9550048907724</v>
      </c>
      <c r="U2" s="28">
        <f t="shared" ref="U2:U7" si="5">Q2+R2+S2+T2</f>
        <v>601181.37898944051</v>
      </c>
      <c r="V2" s="29">
        <f>IFERROR(SUM(U2/E2),"")</f>
        <v>834.97413748533404</v>
      </c>
      <c r="W2" s="65">
        <f t="shared" ref="W2:W7" si="6">P2*($U$19 / $Q$17)</f>
        <v>868.50610323180649</v>
      </c>
      <c r="X2" s="30">
        <v>955</v>
      </c>
      <c r="Y2" s="31">
        <f>IFERROR((X2-V2)/V2,"")</f>
        <v>0.14374800023883874</v>
      </c>
      <c r="Z2" s="66">
        <f>(X2-W2)/W2</f>
        <v>9.9589279161470742E-2</v>
      </c>
      <c r="AA2" s="32">
        <f t="shared" ref="AA2:AA7" si="7">X2*E2</f>
        <v>687600</v>
      </c>
      <c r="AB2" s="32">
        <f t="shared" ref="AB2:AB7" si="8">IFERROR(V2*E2,"")</f>
        <v>601181.37898944051</v>
      </c>
      <c r="AC2" s="64">
        <f>W2*E2</f>
        <v>625324.39432690071</v>
      </c>
      <c r="AD2" s="21"/>
      <c r="AE2" s="21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  <c r="AMI2" s="22"/>
      <c r="AMJ2" s="22"/>
      <c r="AMK2" s="22"/>
    </row>
    <row r="3" spans="1:1025" ht="31.5" x14ac:dyDescent="0.25">
      <c r="A3" s="76" t="s">
        <v>33</v>
      </c>
      <c r="B3" s="23" t="s">
        <v>36</v>
      </c>
      <c r="C3" s="24" t="s">
        <v>37</v>
      </c>
      <c r="D3" s="25">
        <v>5</v>
      </c>
      <c r="E3" s="25">
        <f>720-240-120</f>
        <v>360</v>
      </c>
      <c r="F3" s="25">
        <f t="shared" ref="F3:F8" si="9">E3*D3</f>
        <v>1800</v>
      </c>
      <c r="G3" s="25"/>
      <c r="H3" s="25"/>
      <c r="I3" s="25">
        <v>3</v>
      </c>
      <c r="J3" s="25">
        <f t="shared" si="0"/>
        <v>120</v>
      </c>
      <c r="K3" s="26">
        <v>35.93</v>
      </c>
      <c r="L3" s="26">
        <f>K3+17/O3</f>
        <v>36.156666666666666</v>
      </c>
      <c r="M3" s="26">
        <f t="shared" ref="M3:M7" si="10">K3*E3</f>
        <v>12934.8</v>
      </c>
      <c r="N3" s="27">
        <f t="shared" ref="N3:N13" si="11">D3*E3*0.94</f>
        <v>1692</v>
      </c>
      <c r="O3" s="23">
        <v>75</v>
      </c>
      <c r="P3" s="28">
        <f t="shared" ref="P3:P6" si="12">K3*O3</f>
        <v>2694.75</v>
      </c>
      <c r="Q3" s="28">
        <f t="shared" si="1"/>
        <v>970110</v>
      </c>
      <c r="R3" s="28">
        <f t="shared" si="2"/>
        <v>330813.29923273658</v>
      </c>
      <c r="S3" s="28">
        <f t="shared" si="3"/>
        <v>135718.94359308772</v>
      </c>
      <c r="T3" s="28">
        <f t="shared" si="4"/>
        <v>4034.8875122269314</v>
      </c>
      <c r="U3" s="28">
        <f t="shared" ref="U3" si="13">Q3+R3+S3+T3</f>
        <v>1440677.1303380511</v>
      </c>
      <c r="V3" s="29">
        <f t="shared" ref="V3" si="14">IFERROR(SUM(U3/E3),"")</f>
        <v>4001.8809176056975</v>
      </c>
      <c r="W3" s="65">
        <f t="shared" si="6"/>
        <v>4144.1466519414089</v>
      </c>
      <c r="X3" s="30">
        <v>4750</v>
      </c>
      <c r="Y3" s="31">
        <f>IFERROR((X3-V3)/V3,"")</f>
        <v>0.186941865037278</v>
      </c>
      <c r="Z3" s="66">
        <f t="shared" ref="Z3:Z6" si="15">(X3-W3)/W3</f>
        <v>0.14619495856276393</v>
      </c>
      <c r="AA3" s="32">
        <f t="shared" si="7"/>
        <v>1710000</v>
      </c>
      <c r="AB3" s="32">
        <f t="shared" si="8"/>
        <v>1440677.1303380511</v>
      </c>
      <c r="AC3" s="64">
        <f t="shared" ref="AC3:AC7" si="16">W3*E3</f>
        <v>1491892.7946989073</v>
      </c>
      <c r="AD3" s="21"/>
      <c r="AE3" s="21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  <c r="AMI3" s="22"/>
      <c r="AMJ3" s="22"/>
      <c r="AMK3" s="22"/>
    </row>
    <row r="4" spans="1:1025" ht="30" customHeight="1" x14ac:dyDescent="0.25">
      <c r="A4" s="76" t="s">
        <v>31</v>
      </c>
      <c r="B4" s="23" t="s">
        <v>36</v>
      </c>
      <c r="C4" s="24" t="s">
        <v>38</v>
      </c>
      <c r="D4" s="25">
        <v>5</v>
      </c>
      <c r="E4" s="25">
        <f>720-120</f>
        <v>600</v>
      </c>
      <c r="F4" s="25">
        <f t="shared" si="9"/>
        <v>3000</v>
      </c>
      <c r="G4" s="25"/>
      <c r="H4" s="25"/>
      <c r="I4" s="25">
        <v>3</v>
      </c>
      <c r="J4" s="25">
        <f t="shared" si="0"/>
        <v>200</v>
      </c>
      <c r="K4" s="26">
        <v>28.94</v>
      </c>
      <c r="L4" s="26">
        <f t="shared" ref="L4:L7" si="17">K4+17/O4</f>
        <v>29.166666666666668</v>
      </c>
      <c r="M4" s="26">
        <f t="shared" si="10"/>
        <v>17364</v>
      </c>
      <c r="N4" s="27">
        <f t="shared" si="11"/>
        <v>2820</v>
      </c>
      <c r="O4" s="23">
        <v>75</v>
      </c>
      <c r="P4" s="28">
        <f t="shared" si="12"/>
        <v>2170.5</v>
      </c>
      <c r="Q4" s="28">
        <f t="shared" si="1"/>
        <v>1302300</v>
      </c>
      <c r="R4" s="28">
        <f t="shared" si="2"/>
        <v>444092.0716112532</v>
      </c>
      <c r="S4" s="28">
        <f t="shared" si="3"/>
        <v>226198.23932181287</v>
      </c>
      <c r="T4" s="28">
        <f t="shared" si="4"/>
        <v>6724.8125203782192</v>
      </c>
      <c r="U4" s="28">
        <f t="shared" si="5"/>
        <v>1979315.1234534443</v>
      </c>
      <c r="V4" s="29">
        <f>IFERROR(SUM(U4/E4),"")</f>
        <v>3298.8585390890739</v>
      </c>
      <c r="W4" s="65">
        <f t="shared" si="6"/>
        <v>3337.9238549174611</v>
      </c>
      <c r="X4" s="30">
        <v>4795</v>
      </c>
      <c r="Y4" s="31">
        <f t="shared" ref="Y4:Y7" si="18">IFERROR((X4-V4)/V4,"")</f>
        <v>0.45353307611791721</v>
      </c>
      <c r="Z4" s="66">
        <f t="shared" si="15"/>
        <v>0.43652168485987497</v>
      </c>
      <c r="AA4" s="32">
        <f t="shared" si="7"/>
        <v>2877000</v>
      </c>
      <c r="AB4" s="32">
        <f t="shared" si="8"/>
        <v>1979315.1234534443</v>
      </c>
      <c r="AC4" s="64">
        <f t="shared" si="16"/>
        <v>2002754.3129504765</v>
      </c>
      <c r="AD4" s="21"/>
      <c r="AE4" s="21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  <c r="AMI4" s="22"/>
      <c r="AMJ4" s="22"/>
      <c r="AMK4" s="22"/>
    </row>
    <row r="5" spans="1:1025" ht="30" customHeight="1" x14ac:dyDescent="0.25">
      <c r="A5" s="76" t="s">
        <v>32</v>
      </c>
      <c r="B5" s="23" t="s">
        <v>36</v>
      </c>
      <c r="C5" s="24" t="s">
        <v>39</v>
      </c>
      <c r="D5" s="25">
        <v>1</v>
      </c>
      <c r="E5" s="25">
        <v>720</v>
      </c>
      <c r="F5" s="25">
        <f t="shared" si="9"/>
        <v>720</v>
      </c>
      <c r="G5" s="25"/>
      <c r="H5" s="25"/>
      <c r="I5" s="25">
        <v>12</v>
      </c>
      <c r="J5" s="25">
        <f t="shared" si="0"/>
        <v>60</v>
      </c>
      <c r="K5" s="26">
        <v>5.99</v>
      </c>
      <c r="L5" s="26">
        <f t="shared" ref="L5" si="19">K5+17/O5</f>
        <v>6.2166666666666668</v>
      </c>
      <c r="M5" s="26">
        <f t="shared" si="10"/>
        <v>4312.8</v>
      </c>
      <c r="N5" s="27">
        <f t="shared" si="11"/>
        <v>676.8</v>
      </c>
      <c r="O5" s="23">
        <v>75</v>
      </c>
      <c r="P5" s="28">
        <f t="shared" si="12"/>
        <v>449.25</v>
      </c>
      <c r="Q5" s="28">
        <f t="shared" si="1"/>
        <v>323460</v>
      </c>
      <c r="R5" s="28">
        <f t="shared" si="2"/>
        <v>110301.79028132993</v>
      </c>
      <c r="S5" s="28">
        <f t="shared" si="3"/>
        <v>54287.577437235079</v>
      </c>
      <c r="T5" s="28">
        <f t="shared" si="4"/>
        <v>1613.9550048907724</v>
      </c>
      <c r="U5" s="28">
        <f t="shared" ref="U5" si="20">Q5+R5+S5+T5</f>
        <v>489663.32272345584</v>
      </c>
      <c r="V5" s="29">
        <f t="shared" ref="V5" si="21">IFERROR(SUM(U5/E5),"")</f>
        <v>680.08794822702203</v>
      </c>
      <c r="W5" s="65">
        <f t="shared" si="6"/>
        <v>690.88334108346896</v>
      </c>
      <c r="X5" s="30">
        <v>1035</v>
      </c>
      <c r="Y5" s="31">
        <f t="shared" si="18"/>
        <v>0.52186199255291588</v>
      </c>
      <c r="Z5" s="66">
        <f t="shared" si="15"/>
        <v>0.49808214853881771</v>
      </c>
      <c r="AA5" s="32">
        <f t="shared" si="7"/>
        <v>745200</v>
      </c>
      <c r="AB5" s="32">
        <f t="shared" si="8"/>
        <v>489663.32272345584</v>
      </c>
      <c r="AC5" s="64">
        <f t="shared" si="16"/>
        <v>497436.00558009767</v>
      </c>
      <c r="AD5" s="21"/>
      <c r="AE5" s="21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  <c r="AMI5" s="22"/>
      <c r="AMJ5" s="22"/>
      <c r="AMK5" s="22"/>
    </row>
    <row r="6" spans="1:1025" ht="15.75" x14ac:dyDescent="0.25">
      <c r="A6" s="72" t="s">
        <v>22</v>
      </c>
      <c r="B6" s="77" t="s">
        <v>21</v>
      </c>
      <c r="C6" s="78" t="s">
        <v>40</v>
      </c>
      <c r="D6" s="79">
        <v>1</v>
      </c>
      <c r="E6" s="79">
        <v>1152</v>
      </c>
      <c r="F6" s="79">
        <f t="shared" si="9"/>
        <v>1152</v>
      </c>
      <c r="G6" s="79"/>
      <c r="H6" s="79"/>
      <c r="I6" s="79">
        <v>12</v>
      </c>
      <c r="J6" s="79">
        <f t="shared" si="0"/>
        <v>96</v>
      </c>
      <c r="K6" s="80">
        <v>6.9</v>
      </c>
      <c r="L6" s="26">
        <f t="shared" si="17"/>
        <v>7.1266666666666669</v>
      </c>
      <c r="M6" s="26">
        <f t="shared" si="10"/>
        <v>7948.8</v>
      </c>
      <c r="N6" s="27">
        <f t="shared" si="11"/>
        <v>1082.8799999999999</v>
      </c>
      <c r="O6" s="23">
        <v>75</v>
      </c>
      <c r="P6" s="28">
        <f t="shared" si="12"/>
        <v>517.5</v>
      </c>
      <c r="Q6" s="28">
        <f t="shared" si="1"/>
        <v>596160</v>
      </c>
      <c r="R6" s="28">
        <f t="shared" si="2"/>
        <v>203294.11764705883</v>
      </c>
      <c r="S6" s="28">
        <f t="shared" si="3"/>
        <v>86860.123899576123</v>
      </c>
      <c r="T6" s="28">
        <f t="shared" si="4"/>
        <v>2582.328007825236</v>
      </c>
      <c r="U6" s="28">
        <f t="shared" si="5"/>
        <v>888896.56955446012</v>
      </c>
      <c r="V6" s="29">
        <f t="shared" ref="V6:V13" si="22">IFERROR(SUM(U6/E6),"")</f>
        <v>771.61160551602438</v>
      </c>
      <c r="W6" s="65">
        <f t="shared" si="6"/>
        <v>795.84224598930473</v>
      </c>
      <c r="X6" s="30">
        <v>980</v>
      </c>
      <c r="Y6" s="31">
        <f t="shared" si="18"/>
        <v>0.2700690256526318</v>
      </c>
      <c r="Z6" s="66">
        <f t="shared" si="15"/>
        <v>0.23139982193552736</v>
      </c>
      <c r="AA6" s="32">
        <f t="shared" si="7"/>
        <v>1128960</v>
      </c>
      <c r="AB6" s="32">
        <f t="shared" si="8"/>
        <v>888896.56955446012</v>
      </c>
      <c r="AC6" s="64">
        <f t="shared" si="16"/>
        <v>916810.26737967902</v>
      </c>
      <c r="AD6" s="21"/>
      <c r="AE6" s="21"/>
    </row>
    <row r="7" spans="1:1025" ht="30.75" customHeight="1" x14ac:dyDescent="0.25">
      <c r="A7" s="76" t="s">
        <v>27</v>
      </c>
      <c r="B7" s="58" t="s">
        <v>26</v>
      </c>
      <c r="C7" s="24" t="s">
        <v>41</v>
      </c>
      <c r="D7" s="25">
        <v>4</v>
      </c>
      <c r="E7" s="25">
        <f>144*10</f>
        <v>1440</v>
      </c>
      <c r="F7" s="25">
        <f t="shared" si="9"/>
        <v>5760</v>
      </c>
      <c r="G7" s="25"/>
      <c r="H7" s="25"/>
      <c r="I7" s="25">
        <v>3</v>
      </c>
      <c r="J7" s="25">
        <f t="shared" si="0"/>
        <v>480</v>
      </c>
      <c r="K7" s="26">
        <v>15.41</v>
      </c>
      <c r="L7" s="26">
        <f t="shared" si="17"/>
        <v>15.636666666666667</v>
      </c>
      <c r="M7" s="26">
        <f t="shared" si="10"/>
        <v>22190.400000000001</v>
      </c>
      <c r="N7" s="27">
        <f t="shared" si="11"/>
        <v>5414.4</v>
      </c>
      <c r="O7" s="23">
        <v>75</v>
      </c>
      <c r="P7" s="28">
        <f>K7*O7</f>
        <v>1155.75</v>
      </c>
      <c r="Q7" s="28">
        <f t="shared" si="1"/>
        <v>1664280</v>
      </c>
      <c r="R7" s="28">
        <f t="shared" si="2"/>
        <v>567529.4117647059</v>
      </c>
      <c r="S7" s="28">
        <f t="shared" si="3"/>
        <v>434300.61949788063</v>
      </c>
      <c r="T7" s="28">
        <f t="shared" si="4"/>
        <v>12911.64003912618</v>
      </c>
      <c r="U7" s="28">
        <f t="shared" si="5"/>
        <v>2679021.6713017132</v>
      </c>
      <c r="V7" s="29">
        <f t="shared" si="22"/>
        <v>1860.4317161817453</v>
      </c>
      <c r="W7" s="65">
        <f t="shared" si="6"/>
        <v>1777.3810160427806</v>
      </c>
      <c r="X7" s="30">
        <v>2620</v>
      </c>
      <c r="Y7" s="31">
        <f t="shared" si="18"/>
        <v>0.4082752821356721</v>
      </c>
      <c r="Z7" s="66">
        <f>(X7-W7)/W7</f>
        <v>0.47407898270076831</v>
      </c>
      <c r="AA7" s="32">
        <f t="shared" si="7"/>
        <v>3772800</v>
      </c>
      <c r="AB7" s="32">
        <f t="shared" si="8"/>
        <v>2679021.6713017132</v>
      </c>
      <c r="AC7" s="64">
        <f t="shared" si="16"/>
        <v>2559428.6631016042</v>
      </c>
      <c r="AD7" s="21"/>
      <c r="AE7" s="21"/>
    </row>
    <row r="8" spans="1:1025" ht="15.75" x14ac:dyDescent="0.25">
      <c r="A8" s="72" t="s">
        <v>22</v>
      </c>
      <c r="B8" s="77" t="s">
        <v>21</v>
      </c>
      <c r="C8" s="78" t="s">
        <v>40</v>
      </c>
      <c r="D8" s="79">
        <v>1</v>
      </c>
      <c r="E8" s="79">
        <v>120</v>
      </c>
      <c r="F8" s="79">
        <f t="shared" si="9"/>
        <v>120</v>
      </c>
      <c r="G8" s="79"/>
      <c r="H8" s="79"/>
      <c r="I8" s="79">
        <v>12</v>
      </c>
      <c r="J8" s="79">
        <f t="shared" si="0"/>
        <v>10</v>
      </c>
      <c r="K8" s="80">
        <v>6.8</v>
      </c>
      <c r="L8" s="26">
        <f t="shared" ref="L8" si="23">K8+17/O8</f>
        <v>7.0266666666666664</v>
      </c>
      <c r="M8" s="26">
        <f t="shared" ref="M8:M13" si="24">K8*E8</f>
        <v>816</v>
      </c>
      <c r="N8" s="27">
        <f t="shared" si="11"/>
        <v>112.8</v>
      </c>
      <c r="O8" s="23">
        <v>75</v>
      </c>
      <c r="P8" s="28">
        <f t="shared" ref="P8" si="25">K8*O8</f>
        <v>510</v>
      </c>
      <c r="Q8" s="28">
        <f t="shared" ref="Q8" si="26">$Q$19/$M$17*M8</f>
        <v>61200</v>
      </c>
      <c r="R8" s="28">
        <f t="shared" ref="R8" si="27">$R$19/$M$17*M8</f>
        <v>20869.565217391304</v>
      </c>
      <c r="S8" s="28">
        <f t="shared" ref="S8" si="28">$S$19/$N$17*N8</f>
        <v>9047.9295728725137</v>
      </c>
      <c r="T8" s="28">
        <f t="shared" ref="T8" si="29">$T$19/$N$17*N8</f>
        <v>268.99250081512878</v>
      </c>
      <c r="U8" s="28">
        <f t="shared" ref="U8" si="30">Q8+R8+S8+T8</f>
        <v>91386.487291078942</v>
      </c>
      <c r="V8" s="29">
        <f t="shared" si="22"/>
        <v>761.55406075899123</v>
      </c>
      <c r="W8" s="65">
        <f t="shared" ref="W8" si="31">P8*($U$19 / $Q$17)</f>
        <v>784.30830039525688</v>
      </c>
      <c r="X8" s="30">
        <v>980</v>
      </c>
      <c r="Y8" s="31">
        <f t="shared" ref="Y8" si="32">IFERROR((X8-V8)/V8,"")</f>
        <v>0.28684232741572929</v>
      </c>
      <c r="Z8" s="66">
        <f t="shared" ref="Z8" si="33">(X8-W8)/W8</f>
        <v>0.24950864284634386</v>
      </c>
      <c r="AA8" s="32">
        <f t="shared" ref="AA8" si="34">X8*E8</f>
        <v>117600</v>
      </c>
      <c r="AB8" s="32">
        <f t="shared" ref="AB8" si="35">IFERROR(V8*E8,"")</f>
        <v>91386.487291078942</v>
      </c>
      <c r="AC8" s="64">
        <f t="shared" ref="AC8" si="36">W8*E8</f>
        <v>94116.996047430832</v>
      </c>
      <c r="AD8" s="21"/>
      <c r="AE8" s="21"/>
    </row>
    <row r="9" spans="1:1025" ht="31.5" x14ac:dyDescent="0.25">
      <c r="A9" s="76" t="s">
        <v>33</v>
      </c>
      <c r="B9" s="73" t="s">
        <v>36</v>
      </c>
      <c r="C9" s="74" t="s">
        <v>37</v>
      </c>
      <c r="D9" s="25">
        <v>5</v>
      </c>
      <c r="E9" s="25">
        <v>240</v>
      </c>
      <c r="F9" s="25">
        <f t="shared" ref="F9:F10" si="37">E9*D9</f>
        <v>1200</v>
      </c>
      <c r="G9" s="25"/>
      <c r="H9" s="25"/>
      <c r="I9" s="25">
        <v>3</v>
      </c>
      <c r="J9" s="25">
        <f t="shared" si="0"/>
        <v>80</v>
      </c>
      <c r="K9" s="26">
        <v>35.44</v>
      </c>
      <c r="L9" s="26">
        <f>K9+17/O9</f>
        <v>35.666666666666664</v>
      </c>
      <c r="M9" s="26">
        <f t="shared" si="24"/>
        <v>8505.5999999999985</v>
      </c>
      <c r="N9" s="27">
        <f t="shared" si="11"/>
        <v>1128</v>
      </c>
      <c r="O9" s="23">
        <v>75</v>
      </c>
      <c r="P9" s="28">
        <f t="shared" ref="P9" si="38">K9*O9</f>
        <v>2658</v>
      </c>
      <c r="Q9" s="28">
        <f t="shared" ref="Q9" si="39">$Q$19/$M$17*M9</f>
        <v>637919.99999999988</v>
      </c>
      <c r="R9" s="28">
        <f t="shared" ref="R9" si="40">$R$19/$M$17*M9</f>
        <v>217534.52685421993</v>
      </c>
      <c r="S9" s="28">
        <f t="shared" ref="S9" si="41">$S$19/$N$17*N9</f>
        <v>90479.295728725148</v>
      </c>
      <c r="T9" s="28">
        <f t="shared" ref="T9" si="42">$T$19/$N$17*N9</f>
        <v>2689.9250081512878</v>
      </c>
      <c r="U9" s="28">
        <f t="shared" ref="U9" si="43">Q9+R9+S9+T9</f>
        <v>948623.74759109633</v>
      </c>
      <c r="V9" s="29">
        <f t="shared" si="22"/>
        <v>3952.5989482962345</v>
      </c>
      <c r="W9" s="65">
        <f t="shared" ref="W9" si="44">P9*($U$19 / $Q$17)</f>
        <v>4087.6303185305742</v>
      </c>
      <c r="X9" s="30">
        <v>4750</v>
      </c>
      <c r="Y9" s="31">
        <f t="shared" ref="Y9" si="45">IFERROR((X9-V9)/V9,"")</f>
        <v>0.20174094618111577</v>
      </c>
      <c r="Z9" s="66">
        <f t="shared" ref="Z9" si="46">(X9-W9)/W9</f>
        <v>0.16204246222235066</v>
      </c>
      <c r="AA9" s="32">
        <f t="shared" ref="AA9" si="47">X9*E9</f>
        <v>1140000</v>
      </c>
      <c r="AB9" s="32">
        <f t="shared" ref="AB9" si="48">IFERROR(V9*E9,"")</f>
        <v>948623.74759109633</v>
      </c>
      <c r="AC9" s="64">
        <f t="shared" ref="AC9" si="49">W9*E9</f>
        <v>981031.27644733782</v>
      </c>
      <c r="AD9" s="21"/>
      <c r="AE9" s="21"/>
    </row>
    <row r="10" spans="1:1025" ht="15.75" x14ac:dyDescent="0.25">
      <c r="A10" s="76" t="s">
        <v>45</v>
      </c>
      <c r="B10" s="68" t="s">
        <v>21</v>
      </c>
      <c r="C10" s="69" t="s">
        <v>46</v>
      </c>
      <c r="D10" s="70">
        <v>1</v>
      </c>
      <c r="E10" s="25">
        <v>5760</v>
      </c>
      <c r="F10" s="25">
        <f t="shared" si="37"/>
        <v>5760</v>
      </c>
      <c r="G10" s="25"/>
      <c r="H10" s="25"/>
      <c r="I10" s="25">
        <v>12</v>
      </c>
      <c r="J10" s="25">
        <f t="shared" si="0"/>
        <v>480</v>
      </c>
      <c r="K10" s="26">
        <v>8.6</v>
      </c>
      <c r="L10" s="26">
        <f>K10+17/O10</f>
        <v>8.8266666666666662</v>
      </c>
      <c r="M10" s="26">
        <f t="shared" si="24"/>
        <v>49536</v>
      </c>
      <c r="N10" s="27">
        <f t="shared" si="11"/>
        <v>5414.4</v>
      </c>
      <c r="O10" s="23">
        <v>75</v>
      </c>
      <c r="P10" s="28">
        <f>K10*O10</f>
        <v>645</v>
      </c>
      <c r="Q10" s="28">
        <f t="shared" ref="Q10:Q13" si="50">$Q$19/$M$17*M10</f>
        <v>3715200</v>
      </c>
      <c r="R10" s="28">
        <f t="shared" ref="R10:R13" si="51">$R$19/$M$17*M10</f>
        <v>1266905.3708439898</v>
      </c>
      <c r="S10" s="28">
        <f t="shared" ref="S10:S13" si="52">$S$19/$N$17*N10</f>
        <v>434300.61949788063</v>
      </c>
      <c r="T10" s="28">
        <f t="shared" ref="T10:T13" si="53">$T$19/$N$17*N10</f>
        <v>12911.64003912618</v>
      </c>
      <c r="U10" s="28">
        <f t="shared" ref="U10:U13" si="54">Q10+R10+S10+T10</f>
        <v>5429317.6303809965</v>
      </c>
      <c r="V10" s="29">
        <f t="shared" si="22"/>
        <v>942.58986638558963</v>
      </c>
      <c r="W10" s="65">
        <f t="shared" ref="W10:W13" si="55">P10*($U$19 / $Q$17)</f>
        <v>991.91932108811898</v>
      </c>
      <c r="X10" s="30">
        <v>1300</v>
      </c>
      <c r="Y10" s="31">
        <f t="shared" ref="Y10:Y13" si="56">IFERROR((X10-V10)/V10,"")</f>
        <v>0.37917884157286597</v>
      </c>
      <c r="Z10" s="66">
        <f t="shared" ref="Z10:Z13" si="57">(X10-W10)/W10</f>
        <v>0.31059046069787372</v>
      </c>
      <c r="AA10" s="32">
        <f t="shared" ref="AA10:AA13" si="58">X10*E10</f>
        <v>7488000</v>
      </c>
      <c r="AB10" s="32">
        <f t="shared" ref="AB10:AB13" si="59">IFERROR(V10*E10,"")</f>
        <v>5429317.6303809965</v>
      </c>
      <c r="AC10" s="64">
        <f t="shared" ref="AC10:AC11" si="60">W10*E10</f>
        <v>5713455.2894675657</v>
      </c>
      <c r="AD10" s="21"/>
      <c r="AE10" s="21"/>
    </row>
    <row r="11" spans="1:1025" ht="15.75" x14ac:dyDescent="0.25">
      <c r="A11" s="76" t="s">
        <v>48</v>
      </c>
      <c r="B11" s="68" t="s">
        <v>49</v>
      </c>
      <c r="C11" s="69" t="s">
        <v>50</v>
      </c>
      <c r="D11" s="70">
        <v>4</v>
      </c>
      <c r="E11" s="25">
        <v>632</v>
      </c>
      <c r="F11" s="25">
        <f>E11*D11</f>
        <v>2528</v>
      </c>
      <c r="G11" s="25"/>
      <c r="H11" s="25"/>
      <c r="I11" s="25">
        <v>4</v>
      </c>
      <c r="J11" s="25">
        <f t="shared" si="0"/>
        <v>158</v>
      </c>
      <c r="K11" s="26">
        <v>25</v>
      </c>
      <c r="L11" s="26">
        <f>K11+17/O11</f>
        <v>25.226666666666667</v>
      </c>
      <c r="M11" s="26">
        <f t="shared" si="24"/>
        <v>15800</v>
      </c>
      <c r="N11" s="27">
        <f t="shared" si="11"/>
        <v>2376.3199999999997</v>
      </c>
      <c r="O11" s="23">
        <v>75</v>
      </c>
      <c r="P11" s="28">
        <f>K11*O11</f>
        <v>1875</v>
      </c>
      <c r="Q11" s="28">
        <f t="shared" si="50"/>
        <v>1185000</v>
      </c>
      <c r="R11" s="28">
        <f t="shared" si="51"/>
        <v>404092.0716112532</v>
      </c>
      <c r="S11" s="28">
        <f t="shared" si="52"/>
        <v>190609.71633518094</v>
      </c>
      <c r="T11" s="28">
        <f t="shared" si="53"/>
        <v>5666.7753505053788</v>
      </c>
      <c r="U11" s="28">
        <f t="shared" si="54"/>
        <v>1785368.5632969395</v>
      </c>
      <c r="V11" s="29">
        <f t="shared" si="22"/>
        <v>2824.9502583812332</v>
      </c>
      <c r="W11" s="65">
        <f t="shared" si="55"/>
        <v>2883.4863985119737</v>
      </c>
      <c r="X11" s="30">
        <v>3800</v>
      </c>
      <c r="Y11" s="31">
        <f t="shared" si="56"/>
        <v>0.34515642840999777</v>
      </c>
      <c r="Z11" s="66">
        <f t="shared" si="57"/>
        <v>0.31784911555712353</v>
      </c>
      <c r="AA11" s="32">
        <f t="shared" si="58"/>
        <v>2401600</v>
      </c>
      <c r="AB11" s="32">
        <f t="shared" si="59"/>
        <v>1785368.5632969395</v>
      </c>
      <c r="AC11" s="64">
        <f t="shared" si="60"/>
        <v>1822363.4038595674</v>
      </c>
      <c r="AD11" s="21"/>
      <c r="AE11" s="21"/>
    </row>
    <row r="12" spans="1:1025" ht="15.75" x14ac:dyDescent="0.25">
      <c r="A12" s="76" t="s">
        <v>52</v>
      </c>
      <c r="B12" s="68" t="s">
        <v>53</v>
      </c>
      <c r="C12" s="69" t="s">
        <v>54</v>
      </c>
      <c r="D12" s="70">
        <v>1</v>
      </c>
      <c r="E12" s="25">
        <v>1440</v>
      </c>
      <c r="F12" s="25">
        <f>E12*D12</f>
        <v>1440</v>
      </c>
      <c r="G12" s="25"/>
      <c r="H12" s="25"/>
      <c r="I12" s="25">
        <v>12</v>
      </c>
      <c r="J12" s="25">
        <f t="shared" si="0"/>
        <v>120</v>
      </c>
      <c r="K12" s="26">
        <v>5.9</v>
      </c>
      <c r="L12" s="26"/>
      <c r="M12" s="26">
        <f t="shared" si="24"/>
        <v>8496</v>
      </c>
      <c r="N12" s="27">
        <f t="shared" si="11"/>
        <v>1353.6</v>
      </c>
      <c r="O12" s="23">
        <v>75</v>
      </c>
      <c r="P12" s="28">
        <f>K12*O12</f>
        <v>442.5</v>
      </c>
      <c r="Q12" s="28">
        <f t="shared" si="50"/>
        <v>637200</v>
      </c>
      <c r="R12" s="28">
        <f t="shared" si="51"/>
        <v>217289.00255754477</v>
      </c>
      <c r="S12" s="28">
        <f t="shared" si="52"/>
        <v>108575.15487447016</v>
      </c>
      <c r="T12" s="28">
        <f t="shared" si="53"/>
        <v>3227.9100097815449</v>
      </c>
      <c r="U12" s="28">
        <f t="shared" si="54"/>
        <v>966292.06744179653</v>
      </c>
      <c r="V12" s="29">
        <f t="shared" si="22"/>
        <v>671.03615794569203</v>
      </c>
      <c r="W12" s="65">
        <f t="shared" si="55"/>
        <v>680.50279004882577</v>
      </c>
      <c r="X12" s="30">
        <v>830</v>
      </c>
      <c r="Y12" s="31">
        <f t="shared" si="56"/>
        <v>0.23689310951731629</v>
      </c>
      <c r="Z12" s="66">
        <f t="shared" si="57"/>
        <v>0.21968640266772141</v>
      </c>
      <c r="AA12" s="32">
        <f t="shared" si="58"/>
        <v>1195200</v>
      </c>
      <c r="AB12" s="32">
        <f t="shared" si="59"/>
        <v>966292.06744179653</v>
      </c>
      <c r="AC12" s="64"/>
      <c r="AD12" s="21"/>
      <c r="AE12" s="21"/>
    </row>
    <row r="13" spans="1:1025" ht="15.75" x14ac:dyDescent="0.25">
      <c r="A13" s="76" t="s">
        <v>55</v>
      </c>
      <c r="B13" s="68" t="s">
        <v>26</v>
      </c>
      <c r="C13" s="69" t="s">
        <v>56</v>
      </c>
      <c r="D13" s="70">
        <v>1</v>
      </c>
      <c r="E13" s="25">
        <v>336</v>
      </c>
      <c r="F13" s="25">
        <f>E13*D13</f>
        <v>336</v>
      </c>
      <c r="G13" s="25"/>
      <c r="H13" s="25"/>
      <c r="I13" s="25">
        <v>12</v>
      </c>
      <c r="J13" s="25">
        <f t="shared" si="0"/>
        <v>28</v>
      </c>
      <c r="K13" s="26">
        <v>4.5</v>
      </c>
      <c r="L13" s="26"/>
      <c r="M13" s="26">
        <f t="shared" si="24"/>
        <v>1512</v>
      </c>
      <c r="N13" s="27">
        <f t="shared" si="11"/>
        <v>315.83999999999997</v>
      </c>
      <c r="O13" s="23">
        <v>75</v>
      </c>
      <c r="P13" s="28">
        <f>K13*O13</f>
        <v>337.5</v>
      </c>
      <c r="Q13" s="28">
        <f t="shared" si="50"/>
        <v>113400</v>
      </c>
      <c r="R13" s="28">
        <f t="shared" si="51"/>
        <v>38670.076726342711</v>
      </c>
      <c r="S13" s="28">
        <f t="shared" si="52"/>
        <v>25334.202804043038</v>
      </c>
      <c r="T13" s="28">
        <f t="shared" si="53"/>
        <v>753.17900228236056</v>
      </c>
      <c r="U13" s="28">
        <f t="shared" si="54"/>
        <v>178157.45853266813</v>
      </c>
      <c r="V13" s="29">
        <f t="shared" si="22"/>
        <v>530.23053134722659</v>
      </c>
      <c r="W13" s="65">
        <f t="shared" si="55"/>
        <v>519.0275517321553</v>
      </c>
      <c r="X13" s="30">
        <v>830</v>
      </c>
      <c r="Y13" s="31">
        <f t="shared" si="56"/>
        <v>0.56535686070568136</v>
      </c>
      <c r="Z13" s="66">
        <f t="shared" si="57"/>
        <v>0.5991443946087901</v>
      </c>
      <c r="AA13" s="32">
        <f t="shared" si="58"/>
        <v>278880</v>
      </c>
      <c r="AB13" s="32">
        <f t="shared" si="59"/>
        <v>178157.45853266813</v>
      </c>
      <c r="AC13" s="64"/>
      <c r="AD13" s="21"/>
      <c r="AE13" s="21"/>
    </row>
    <row r="14" spans="1:1025" ht="15.75" x14ac:dyDescent="0.25">
      <c r="A14" s="46"/>
      <c r="B14" s="47"/>
      <c r="C14" s="48"/>
      <c r="D14" s="49"/>
      <c r="E14" s="49"/>
      <c r="F14" s="49"/>
      <c r="G14" s="49"/>
      <c r="H14" s="49"/>
      <c r="I14" s="49"/>
      <c r="J14" s="49"/>
      <c r="K14" s="49"/>
      <c r="L14" s="50"/>
      <c r="M14" s="50"/>
      <c r="N14" s="57"/>
      <c r="O14" s="47"/>
      <c r="P14" s="51"/>
      <c r="Q14" s="51"/>
      <c r="R14" s="51"/>
      <c r="S14" s="51"/>
      <c r="T14" s="33"/>
      <c r="U14" s="51"/>
      <c r="V14" s="52"/>
      <c r="W14" s="52"/>
      <c r="X14" s="57"/>
      <c r="Y14" s="53"/>
      <c r="Z14" s="53"/>
      <c r="AA14" s="61">
        <f>SUM(AA2:AA12)</f>
        <v>23263960</v>
      </c>
      <c r="AB14" s="61">
        <f>SUM(AB2:AB13)</f>
        <v>17477901.150895141</v>
      </c>
      <c r="AC14" s="64">
        <f>SUM(AC2:AC11)</f>
        <v>16704613.403859567</v>
      </c>
      <c r="AD14" s="21"/>
      <c r="AE14" s="21"/>
    </row>
    <row r="15" spans="1:1025" ht="15.75" x14ac:dyDescent="0.25">
      <c r="A15" s="46"/>
      <c r="B15" s="47"/>
      <c r="C15" s="48"/>
      <c r="D15" s="49"/>
      <c r="E15" s="49"/>
      <c r="F15" s="49"/>
      <c r="G15" s="49"/>
      <c r="H15" s="49"/>
      <c r="I15" s="49"/>
      <c r="J15" s="49"/>
      <c r="K15" s="49"/>
      <c r="L15" s="50"/>
      <c r="M15" s="50"/>
      <c r="N15" s="57"/>
      <c r="O15" s="47"/>
      <c r="P15" s="51"/>
      <c r="Q15" s="51"/>
      <c r="R15" s="51"/>
      <c r="S15" s="51"/>
      <c r="T15" s="33"/>
      <c r="U15" s="51"/>
      <c r="V15" s="52"/>
      <c r="W15" s="52"/>
      <c r="X15" s="57"/>
      <c r="Y15" s="53"/>
      <c r="Z15" s="53"/>
      <c r="AA15" s="54"/>
      <c r="AB15" s="54"/>
      <c r="AC15" s="21"/>
      <c r="AD15" s="21"/>
      <c r="AE15" s="21"/>
    </row>
    <row r="16" spans="1:1025" ht="15.75" x14ac:dyDescent="0.25">
      <c r="A16" s="46"/>
      <c r="B16" s="47"/>
      <c r="C16" s="48"/>
      <c r="D16" s="49"/>
      <c r="E16" s="49"/>
      <c r="F16" s="49"/>
      <c r="G16" s="49"/>
      <c r="H16" s="49"/>
      <c r="I16" s="49"/>
      <c r="J16" s="49"/>
      <c r="K16" s="49"/>
      <c r="L16" s="50"/>
      <c r="M16" s="50"/>
      <c r="N16" s="57"/>
      <c r="O16" s="47"/>
      <c r="P16" s="51"/>
      <c r="Q16" s="51"/>
      <c r="R16" s="51"/>
      <c r="S16" s="51"/>
      <c r="T16" s="33"/>
      <c r="U16" s="51"/>
      <c r="V16" s="52"/>
      <c r="W16" s="52"/>
      <c r="X16" s="57"/>
      <c r="Y16" s="53"/>
      <c r="Z16" s="53"/>
      <c r="AA16" s="54"/>
      <c r="AB16" s="54"/>
      <c r="AC16" s="21"/>
      <c r="AD16" s="21"/>
      <c r="AE16" s="21"/>
    </row>
    <row r="17" spans="1:1025" ht="15.75" x14ac:dyDescent="0.25">
      <c r="A17" s="34"/>
      <c r="B17" s="35"/>
      <c r="C17" s="35"/>
      <c r="D17" s="36"/>
      <c r="E17" s="37">
        <f>SUM(E2:E13)</f>
        <v>13520</v>
      </c>
      <c r="F17" s="37"/>
      <c r="G17" s="37"/>
      <c r="H17" s="37"/>
      <c r="I17" s="38"/>
      <c r="J17" s="37">
        <f>SUM(J2:J13)</f>
        <v>1892</v>
      </c>
      <c r="K17" s="37"/>
      <c r="L17" s="38"/>
      <c r="M17" s="59">
        <f>SUMIF(M2:M10,"&lt;&gt;#ДЕЛ/0!")</f>
        <v>129030</v>
      </c>
      <c r="N17" s="60">
        <f>SUM(N2:N13)</f>
        <v>23063.84</v>
      </c>
      <c r="P17" s="7"/>
      <c r="Q17" s="39">
        <f>SUMIF(Q2:Q10,"&lt;&gt;#ДЕЛ/0!")</f>
        <v>9677250</v>
      </c>
      <c r="R17" s="39">
        <f>SUMIF(R2:R10,"&lt;&gt;#ДЕЛ/0!")</f>
        <v>3300000</v>
      </c>
      <c r="S17" s="39">
        <f>SUMIF(S2:S10,"&lt;&gt;#ДЕЛ/0!")</f>
        <v>1525480.9259863056</v>
      </c>
      <c r="T17" s="39">
        <f>SUMIF(T2:T10,"&lt;&gt;#ДЕЛ/0!")</f>
        <v>45352.135637430707</v>
      </c>
      <c r="U17" s="39">
        <f>SUMIF(U2:U10,"&lt;&gt;#ДЕЛ/0!")</f>
        <v>14548083.061623737</v>
      </c>
      <c r="V17" s="40"/>
      <c r="W17" s="40"/>
      <c r="X17" s="21"/>
      <c r="AB17" s="21"/>
      <c r="AC17" s="21"/>
      <c r="AD17" s="21"/>
      <c r="AE17" s="21"/>
      <c r="AMJ17" s="5"/>
      <c r="AMK17" s="5"/>
    </row>
    <row r="18" spans="1:1025" ht="30" x14ac:dyDescent="0.25">
      <c r="A18" s="71" t="s">
        <v>47</v>
      </c>
      <c r="M18" s="55" t="s">
        <v>23</v>
      </c>
      <c r="N18" s="56">
        <f>N17+42*18</f>
        <v>23819.84</v>
      </c>
      <c r="P18" s="7"/>
      <c r="Q18" s="41" t="s">
        <v>24</v>
      </c>
      <c r="R18" s="41" t="s">
        <v>24</v>
      </c>
      <c r="S18" s="41" t="s">
        <v>24</v>
      </c>
      <c r="T18" s="41" t="s">
        <v>24</v>
      </c>
      <c r="U18" s="42"/>
      <c r="AA18" s="62" t="s">
        <v>25</v>
      </c>
      <c r="AB18" s="63">
        <f>(AA14-AB14)/AB14</f>
        <v>0.33104998129643975</v>
      </c>
    </row>
    <row r="19" spans="1:1025" ht="15.75" x14ac:dyDescent="0.25">
      <c r="M19" s="6"/>
      <c r="N19" s="6"/>
      <c r="Q19" s="43">
        <f>M17*O2</f>
        <v>9677250</v>
      </c>
      <c r="R19" s="43">
        <v>3300000</v>
      </c>
      <c r="S19" s="44">
        <v>1850000</v>
      </c>
      <c r="T19" s="44">
        <f>40000+15000</f>
        <v>55000</v>
      </c>
      <c r="U19" s="43">
        <f>Q19+R19+S19+T19</f>
        <v>14882250</v>
      </c>
    </row>
    <row r="20" spans="1:1025" x14ac:dyDescent="0.2">
      <c r="M20" s="6"/>
      <c r="N20" s="6"/>
      <c r="O20" s="5"/>
      <c r="R20" s="5"/>
      <c r="S20" s="5"/>
      <c r="T20" s="5"/>
      <c r="U20" s="5"/>
    </row>
    <row r="21" spans="1:1025" x14ac:dyDescent="0.2">
      <c r="M21" s="6"/>
      <c r="N21" s="6"/>
      <c r="O21" s="5"/>
      <c r="R21" s="5"/>
      <c r="S21" s="5"/>
      <c r="T21" s="5"/>
      <c r="U21" s="5"/>
      <c r="AC21" s="67"/>
    </row>
    <row r="22" spans="1:1025" x14ac:dyDescent="0.2">
      <c r="M22" s="6"/>
      <c r="N22" s="6"/>
      <c r="O22" s="5"/>
      <c r="R22" s="5"/>
      <c r="S22" s="5"/>
      <c r="T22" s="5"/>
      <c r="U22" s="5"/>
    </row>
    <row r="23" spans="1:1025" x14ac:dyDescent="0.2">
      <c r="M23" s="6"/>
      <c r="N23" s="6"/>
      <c r="O23" s="5"/>
      <c r="R23" s="45"/>
      <c r="S23" s="5"/>
      <c r="T23" s="5"/>
      <c r="U23" s="5"/>
    </row>
    <row r="24" spans="1:1025" x14ac:dyDescent="0.2">
      <c r="M24" s="6"/>
      <c r="N24" s="6"/>
      <c r="O24" s="5"/>
      <c r="R24" s="5"/>
      <c r="S24" s="5"/>
      <c r="T24" s="5"/>
      <c r="U24" s="5"/>
    </row>
    <row r="25" spans="1:1025" x14ac:dyDescent="0.2">
      <c r="O25" s="5"/>
      <c r="R25" s="5"/>
      <c r="S25" s="5"/>
      <c r="T25" s="5"/>
      <c r="U25" s="5"/>
    </row>
    <row r="26" spans="1:1025" x14ac:dyDescent="0.2">
      <c r="O26" s="5"/>
      <c r="R26" s="5"/>
      <c r="S26" s="5"/>
      <c r="T26" s="5"/>
      <c r="U26" s="5"/>
    </row>
    <row r="27" spans="1:1025" x14ac:dyDescent="0.2">
      <c r="O27" s="5"/>
      <c r="R27" s="5"/>
      <c r="S27" s="5"/>
      <c r="T27" s="5"/>
      <c r="U27" s="5"/>
    </row>
    <row r="28" spans="1:1025" x14ac:dyDescent="0.2">
      <c r="O28" s="5"/>
      <c r="R28" s="5"/>
      <c r="S28" s="5"/>
      <c r="T28" s="5"/>
      <c r="U28" s="5"/>
    </row>
    <row r="29" spans="1:1025" x14ac:dyDescent="0.2">
      <c r="O29" s="5"/>
      <c r="R29" s="5"/>
      <c r="S29" s="5"/>
      <c r="T29" s="5"/>
      <c r="U29" s="5"/>
    </row>
    <row r="30" spans="1:1025" x14ac:dyDescent="0.2">
      <c r="M30" s="7">
        <f>M17*3.67</f>
        <v>473540.1</v>
      </c>
      <c r="O30" s="5"/>
      <c r="R30" s="5"/>
      <c r="S30" s="5"/>
      <c r="T30" s="5"/>
      <c r="U30" s="5"/>
    </row>
    <row r="31" spans="1:1025" x14ac:dyDescent="0.2">
      <c r="O31" s="5"/>
      <c r="R31" s="5"/>
      <c r="S31" s="5"/>
      <c r="T31" s="5"/>
      <c r="U31" s="5"/>
    </row>
    <row r="32" spans="1:1025" x14ac:dyDescent="0.2">
      <c r="O32" s="5"/>
      <c r="R32" s="5"/>
      <c r="S32" s="5"/>
      <c r="T32" s="5"/>
      <c r="U32" s="5"/>
    </row>
    <row r="33" spans="15:21" x14ac:dyDescent="0.2">
      <c r="O33" s="5"/>
      <c r="R33" s="5"/>
      <c r="S33" s="5"/>
      <c r="T33" s="5"/>
      <c r="U33" s="5"/>
    </row>
    <row r="34" spans="15:21" x14ac:dyDescent="0.2">
      <c r="O34" s="5"/>
      <c r="R34" s="5"/>
      <c r="S34" s="5"/>
      <c r="T34" s="5"/>
      <c r="U34" s="5"/>
    </row>
    <row r="35" spans="15:21" x14ac:dyDescent="0.2">
      <c r="O35" s="5"/>
      <c r="R35" s="5"/>
      <c r="S35" s="5"/>
      <c r="T35" s="5"/>
      <c r="U35" s="5"/>
    </row>
    <row r="36" spans="15:21" x14ac:dyDescent="0.2">
      <c r="O36" s="5"/>
      <c r="R36" s="5"/>
      <c r="S36" s="5"/>
      <c r="T36" s="5"/>
      <c r="U36" s="5"/>
    </row>
    <row r="37" spans="15:21" x14ac:dyDescent="0.2">
      <c r="O37" s="5"/>
      <c r="R37" s="5"/>
      <c r="S37" s="5"/>
      <c r="T37" s="5"/>
      <c r="U37" s="5"/>
    </row>
    <row r="38" spans="15:21" x14ac:dyDescent="0.2">
      <c r="O38" s="5"/>
      <c r="R38" s="5"/>
      <c r="S38" s="5"/>
      <c r="T38" s="5"/>
      <c r="U38" s="5"/>
    </row>
    <row r="39" spans="15:21" x14ac:dyDescent="0.2">
      <c r="O39" s="5"/>
      <c r="R39" s="5"/>
      <c r="S39" s="5"/>
      <c r="T39" s="5"/>
      <c r="U39" s="5"/>
    </row>
  </sheetData>
  <conditionalFormatting sqref="Y19:Z1048576 Y1:Z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79867-FC2F-454A-AACC-14526432C298}">
  <dimension ref="A1:M14"/>
  <sheetViews>
    <sheetView tabSelected="1" topLeftCell="C1" workbookViewId="0">
      <selection activeCell="L11" sqref="L11"/>
    </sheetView>
  </sheetViews>
  <sheetFormatPr defaultColWidth="32.85546875" defaultRowHeight="12.75" x14ac:dyDescent="0.2"/>
  <cols>
    <col min="3" max="3" width="103.42578125" customWidth="1"/>
    <col min="6" max="8" width="0" hidden="1" customWidth="1"/>
  </cols>
  <sheetData>
    <row r="1" spans="1:13" ht="15.75" x14ac:dyDescent="0.2">
      <c r="A1" s="9" t="s">
        <v>51</v>
      </c>
      <c r="B1" s="10" t="s">
        <v>0</v>
      </c>
      <c r="C1" s="10" t="s">
        <v>1</v>
      </c>
      <c r="D1" s="11" t="s">
        <v>2</v>
      </c>
      <c r="E1" s="12" t="s">
        <v>3</v>
      </c>
      <c r="F1" s="12" t="s">
        <v>43</v>
      </c>
      <c r="G1" s="12" t="s">
        <v>29</v>
      </c>
      <c r="H1" s="12" t="s">
        <v>30</v>
      </c>
      <c r="I1" s="10" t="s">
        <v>4</v>
      </c>
      <c r="J1" s="10" t="s">
        <v>5</v>
      </c>
    </row>
    <row r="2" spans="1:13" ht="23.25" customHeight="1" x14ac:dyDescent="0.2">
      <c r="A2" s="76" t="s">
        <v>35</v>
      </c>
      <c r="B2" s="23" t="s">
        <v>36</v>
      </c>
      <c r="C2" s="24" t="s">
        <v>34</v>
      </c>
      <c r="D2" s="25">
        <v>1</v>
      </c>
      <c r="E2" s="25">
        <v>720</v>
      </c>
      <c r="F2" s="25">
        <f>E2*D2</f>
        <v>720</v>
      </c>
      <c r="G2" s="25"/>
      <c r="H2" s="25"/>
      <c r="I2" s="25">
        <v>12</v>
      </c>
      <c r="J2" s="25">
        <f>E2/I2</f>
        <v>60</v>
      </c>
      <c r="L2" s="82" t="s">
        <v>35</v>
      </c>
      <c r="M2">
        <f>SUMIF($A$2:$A$13,L2,$E$2:$E$13)</f>
        <v>720</v>
      </c>
    </row>
    <row r="3" spans="1:13" ht="23.25" customHeight="1" x14ac:dyDescent="0.2">
      <c r="A3" s="76" t="s">
        <v>33</v>
      </c>
      <c r="B3" s="23" t="s">
        <v>36</v>
      </c>
      <c r="C3" s="24" t="s">
        <v>37</v>
      </c>
      <c r="D3" s="25">
        <v>5</v>
      </c>
      <c r="E3" s="25">
        <f>720-240-120</f>
        <v>360</v>
      </c>
      <c r="F3" s="25">
        <f t="shared" ref="F3:F10" si="0">E3*D3</f>
        <v>1800</v>
      </c>
      <c r="G3" s="25"/>
      <c r="H3" s="25"/>
      <c r="I3" s="25">
        <v>3</v>
      </c>
      <c r="J3" s="25">
        <f t="shared" ref="J3:J13" si="1">E3/I3</f>
        <v>120</v>
      </c>
      <c r="L3" s="82" t="s">
        <v>33</v>
      </c>
      <c r="M3">
        <f t="shared" ref="M3:M11" si="2">SUMIF($A$2:$A$13,L3,$E$2:$E$13)</f>
        <v>600</v>
      </c>
    </row>
    <row r="4" spans="1:13" ht="23.25" customHeight="1" x14ac:dyDescent="0.2">
      <c r="A4" s="76" t="s">
        <v>31</v>
      </c>
      <c r="B4" s="23" t="s">
        <v>36</v>
      </c>
      <c r="C4" s="24" t="s">
        <v>38</v>
      </c>
      <c r="D4" s="25">
        <v>5</v>
      </c>
      <c r="E4" s="25">
        <f>720-120</f>
        <v>600</v>
      </c>
      <c r="F4" s="25">
        <f t="shared" si="0"/>
        <v>3000</v>
      </c>
      <c r="G4" s="25"/>
      <c r="H4" s="25"/>
      <c r="I4" s="25">
        <v>3</v>
      </c>
      <c r="J4" s="25">
        <f t="shared" si="1"/>
        <v>200</v>
      </c>
      <c r="L4" s="82" t="s">
        <v>31</v>
      </c>
      <c r="M4">
        <f t="shared" si="2"/>
        <v>600</v>
      </c>
    </row>
    <row r="5" spans="1:13" ht="23.25" customHeight="1" x14ac:dyDescent="0.2">
      <c r="A5" s="76" t="s">
        <v>32</v>
      </c>
      <c r="B5" s="23" t="s">
        <v>36</v>
      </c>
      <c r="C5" s="24" t="s">
        <v>39</v>
      </c>
      <c r="D5" s="25">
        <v>1</v>
      </c>
      <c r="E5" s="25">
        <v>720</v>
      </c>
      <c r="F5" s="25">
        <f t="shared" si="0"/>
        <v>720</v>
      </c>
      <c r="G5" s="25"/>
      <c r="H5" s="25"/>
      <c r="I5" s="25">
        <v>12</v>
      </c>
      <c r="J5" s="25">
        <f t="shared" si="1"/>
        <v>60</v>
      </c>
      <c r="L5" s="82" t="s">
        <v>32</v>
      </c>
      <c r="M5">
        <f t="shared" si="2"/>
        <v>720</v>
      </c>
    </row>
    <row r="6" spans="1:13" ht="23.25" customHeight="1" x14ac:dyDescent="0.2">
      <c r="A6" s="72" t="s">
        <v>22</v>
      </c>
      <c r="B6" s="77" t="s">
        <v>21</v>
      </c>
      <c r="C6" s="78" t="s">
        <v>40</v>
      </c>
      <c r="D6" s="79">
        <v>1</v>
      </c>
      <c r="E6" s="79">
        <v>1152</v>
      </c>
      <c r="F6" s="79">
        <f t="shared" si="0"/>
        <v>1152</v>
      </c>
      <c r="G6" s="79"/>
      <c r="H6" s="79"/>
      <c r="I6" s="79">
        <v>12</v>
      </c>
      <c r="J6" s="79">
        <f t="shared" si="1"/>
        <v>96</v>
      </c>
      <c r="L6" s="82" t="s">
        <v>22</v>
      </c>
      <c r="M6">
        <f t="shared" si="2"/>
        <v>1272</v>
      </c>
    </row>
    <row r="7" spans="1:13" ht="23.25" customHeight="1" x14ac:dyDescent="0.2">
      <c r="A7" s="76" t="s">
        <v>27</v>
      </c>
      <c r="B7" s="58" t="s">
        <v>26</v>
      </c>
      <c r="C7" s="24" t="s">
        <v>41</v>
      </c>
      <c r="D7" s="25">
        <v>4</v>
      </c>
      <c r="E7" s="25">
        <f>144*10</f>
        <v>1440</v>
      </c>
      <c r="F7" s="25">
        <f t="shared" si="0"/>
        <v>5760</v>
      </c>
      <c r="G7" s="25"/>
      <c r="H7" s="25"/>
      <c r="I7" s="25">
        <v>3</v>
      </c>
      <c r="J7" s="25">
        <f t="shared" si="1"/>
        <v>480</v>
      </c>
      <c r="L7" s="82" t="s">
        <v>27</v>
      </c>
      <c r="M7">
        <f t="shared" si="2"/>
        <v>1440</v>
      </c>
    </row>
    <row r="8" spans="1:13" ht="23.25" customHeight="1" x14ac:dyDescent="0.2">
      <c r="A8" s="72" t="s">
        <v>22</v>
      </c>
      <c r="B8" s="77" t="s">
        <v>21</v>
      </c>
      <c r="C8" s="78" t="s">
        <v>40</v>
      </c>
      <c r="D8" s="79">
        <v>1</v>
      </c>
      <c r="E8" s="79">
        <v>120</v>
      </c>
      <c r="F8" s="79">
        <f t="shared" si="0"/>
        <v>120</v>
      </c>
      <c r="G8" s="79"/>
      <c r="H8" s="79"/>
      <c r="I8" s="79">
        <v>12</v>
      </c>
      <c r="J8" s="79">
        <f t="shared" si="1"/>
        <v>10</v>
      </c>
      <c r="L8" s="82" t="s">
        <v>45</v>
      </c>
      <c r="M8">
        <f t="shared" si="2"/>
        <v>5760</v>
      </c>
    </row>
    <row r="9" spans="1:13" ht="23.25" customHeight="1" x14ac:dyDescent="0.2">
      <c r="A9" s="76" t="s">
        <v>33</v>
      </c>
      <c r="B9" s="73" t="s">
        <v>36</v>
      </c>
      <c r="C9" s="74" t="s">
        <v>37</v>
      </c>
      <c r="D9" s="25">
        <v>5</v>
      </c>
      <c r="E9" s="25">
        <v>240</v>
      </c>
      <c r="F9" s="25">
        <f t="shared" si="0"/>
        <v>1200</v>
      </c>
      <c r="G9" s="25"/>
      <c r="H9" s="25"/>
      <c r="I9" s="25">
        <v>3</v>
      </c>
      <c r="J9" s="25">
        <f t="shared" si="1"/>
        <v>80</v>
      </c>
      <c r="L9" s="82" t="s">
        <v>48</v>
      </c>
      <c r="M9">
        <f t="shared" si="2"/>
        <v>632</v>
      </c>
    </row>
    <row r="10" spans="1:13" ht="23.25" customHeight="1" x14ac:dyDescent="0.2">
      <c r="A10" s="76" t="s">
        <v>45</v>
      </c>
      <c r="B10" s="68" t="s">
        <v>21</v>
      </c>
      <c r="C10" s="69" t="s">
        <v>46</v>
      </c>
      <c r="D10" s="70">
        <v>1</v>
      </c>
      <c r="E10" s="25">
        <v>5760</v>
      </c>
      <c r="F10" s="25">
        <f t="shared" si="0"/>
        <v>5760</v>
      </c>
      <c r="G10" s="25"/>
      <c r="H10" s="25"/>
      <c r="I10" s="25">
        <v>12</v>
      </c>
      <c r="J10" s="25">
        <f t="shared" si="1"/>
        <v>480</v>
      </c>
      <c r="L10" s="82" t="s">
        <v>52</v>
      </c>
      <c r="M10">
        <f t="shared" si="2"/>
        <v>1440</v>
      </c>
    </row>
    <row r="11" spans="1:13" ht="23.25" customHeight="1" x14ac:dyDescent="0.2">
      <c r="A11" s="76" t="s">
        <v>48</v>
      </c>
      <c r="B11" s="68" t="s">
        <v>49</v>
      </c>
      <c r="C11" s="69" t="s">
        <v>50</v>
      </c>
      <c r="D11" s="70">
        <v>4</v>
      </c>
      <c r="E11" s="25">
        <v>632</v>
      </c>
      <c r="F11" s="25">
        <f>E11*D11</f>
        <v>2528</v>
      </c>
      <c r="G11" s="25"/>
      <c r="H11" s="25"/>
      <c r="I11" s="25">
        <v>4</v>
      </c>
      <c r="J11" s="25">
        <f t="shared" si="1"/>
        <v>158</v>
      </c>
      <c r="L11" s="82" t="s">
        <v>55</v>
      </c>
      <c r="M11">
        <f t="shared" si="2"/>
        <v>336</v>
      </c>
    </row>
    <row r="12" spans="1:13" ht="23.25" customHeight="1" x14ac:dyDescent="0.2">
      <c r="A12" s="76" t="s">
        <v>52</v>
      </c>
      <c r="B12" s="68" t="s">
        <v>53</v>
      </c>
      <c r="C12" s="69" t="s">
        <v>54</v>
      </c>
      <c r="D12" s="70">
        <v>1</v>
      </c>
      <c r="E12" s="25">
        <v>1440</v>
      </c>
      <c r="F12" s="25">
        <f>E12*D12</f>
        <v>1440</v>
      </c>
      <c r="G12" s="25"/>
      <c r="H12" s="25"/>
      <c r="I12" s="25">
        <v>12</v>
      </c>
      <c r="J12" s="25">
        <f t="shared" si="1"/>
        <v>120</v>
      </c>
    </row>
    <row r="13" spans="1:13" ht="23.25" customHeight="1" x14ac:dyDescent="0.2">
      <c r="A13" s="76" t="s">
        <v>55</v>
      </c>
      <c r="B13" s="68" t="s">
        <v>26</v>
      </c>
      <c r="C13" s="69" t="s">
        <v>56</v>
      </c>
      <c r="D13" s="70">
        <v>1</v>
      </c>
      <c r="E13" s="25">
        <v>336</v>
      </c>
      <c r="F13" s="25">
        <f>E13*D13</f>
        <v>336</v>
      </c>
      <c r="G13" s="25"/>
      <c r="H13" s="25"/>
      <c r="I13" s="25">
        <v>12</v>
      </c>
      <c r="J13" s="25">
        <f t="shared" si="1"/>
        <v>28</v>
      </c>
    </row>
    <row r="14" spans="1:13" x14ac:dyDescent="0.2">
      <c r="J14" s="81">
        <f>SUM(J2:J13)</f>
        <v>1892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C031C-34C6-4693-8808-CB575DA1DE33}">
  <dimension ref="A1:J13"/>
  <sheetViews>
    <sheetView topLeftCell="B1" workbookViewId="0">
      <selection activeCell="F22" sqref="F22"/>
    </sheetView>
  </sheetViews>
  <sheetFormatPr defaultColWidth="34.140625" defaultRowHeight="12.75" x14ac:dyDescent="0.2"/>
  <sheetData>
    <row r="1" spans="1:10" ht="31.5" x14ac:dyDescent="0.2">
      <c r="A1" s="9" t="s">
        <v>51</v>
      </c>
      <c r="B1" s="10" t="s">
        <v>0</v>
      </c>
      <c r="C1" s="10" t="s">
        <v>1</v>
      </c>
      <c r="D1" s="11" t="s">
        <v>2</v>
      </c>
      <c r="E1" s="12" t="s">
        <v>3</v>
      </c>
      <c r="F1" s="12" t="s">
        <v>43</v>
      </c>
      <c r="G1" s="10" t="s">
        <v>4</v>
      </c>
      <c r="H1" s="10" t="s">
        <v>5</v>
      </c>
      <c r="I1" s="10" t="s">
        <v>6</v>
      </c>
    </row>
    <row r="2" spans="1:10" ht="27" customHeight="1" x14ac:dyDescent="0.2">
      <c r="A2" s="72" t="s">
        <v>35</v>
      </c>
      <c r="B2" s="23" t="s">
        <v>36</v>
      </c>
      <c r="C2" s="24" t="s">
        <v>34</v>
      </c>
      <c r="D2" s="25">
        <v>1</v>
      </c>
      <c r="E2" s="25">
        <v>720</v>
      </c>
      <c r="F2" s="25">
        <f>E2*D2</f>
        <v>720</v>
      </c>
      <c r="G2" s="25">
        <v>12</v>
      </c>
      <c r="H2" s="25">
        <f t="shared" ref="H2:H13" si="0">E2/G2</f>
        <v>60</v>
      </c>
      <c r="I2" s="26">
        <v>7.53</v>
      </c>
      <c r="J2" s="75">
        <f>I2*3.67</f>
        <v>27.635100000000001</v>
      </c>
    </row>
    <row r="3" spans="1:10" ht="27" customHeight="1" x14ac:dyDescent="0.2">
      <c r="A3" s="72" t="s">
        <v>33</v>
      </c>
      <c r="B3" s="23" t="s">
        <v>36</v>
      </c>
      <c r="C3" s="24" t="s">
        <v>37</v>
      </c>
      <c r="D3" s="25">
        <v>5</v>
      </c>
      <c r="E3" s="25">
        <f>720-240-120</f>
        <v>360</v>
      </c>
      <c r="F3" s="25">
        <f t="shared" ref="F3:F10" si="1">E3*D3</f>
        <v>1800</v>
      </c>
      <c r="G3" s="25">
        <v>3</v>
      </c>
      <c r="H3" s="25">
        <f t="shared" si="0"/>
        <v>120</v>
      </c>
      <c r="I3" s="26">
        <v>35.93</v>
      </c>
      <c r="J3" s="75">
        <f t="shared" ref="J3:J13" si="2">I3*3.67</f>
        <v>131.8631</v>
      </c>
    </row>
    <row r="4" spans="1:10" ht="27" customHeight="1" x14ac:dyDescent="0.2">
      <c r="A4" s="72" t="s">
        <v>31</v>
      </c>
      <c r="B4" s="23" t="s">
        <v>36</v>
      </c>
      <c r="C4" s="24" t="s">
        <v>38</v>
      </c>
      <c r="D4" s="25">
        <v>5</v>
      </c>
      <c r="E4" s="25">
        <f>720-120</f>
        <v>600</v>
      </c>
      <c r="F4" s="25">
        <f t="shared" si="1"/>
        <v>3000</v>
      </c>
      <c r="G4" s="25">
        <v>3</v>
      </c>
      <c r="H4" s="25">
        <f t="shared" si="0"/>
        <v>200</v>
      </c>
      <c r="I4" s="26">
        <v>28.94</v>
      </c>
      <c r="J4" s="75">
        <f t="shared" si="2"/>
        <v>106.2098</v>
      </c>
    </row>
    <row r="5" spans="1:10" ht="27" customHeight="1" x14ac:dyDescent="0.2">
      <c r="A5" s="72" t="s">
        <v>32</v>
      </c>
      <c r="B5" s="23" t="s">
        <v>36</v>
      </c>
      <c r="C5" s="24" t="s">
        <v>39</v>
      </c>
      <c r="D5" s="25">
        <v>1</v>
      </c>
      <c r="E5" s="25">
        <v>720</v>
      </c>
      <c r="F5" s="25">
        <f t="shared" si="1"/>
        <v>720</v>
      </c>
      <c r="G5" s="25">
        <v>12</v>
      </c>
      <c r="H5" s="25">
        <f t="shared" si="0"/>
        <v>60</v>
      </c>
      <c r="I5" s="26">
        <v>5.99</v>
      </c>
      <c r="J5" s="75">
        <f t="shared" si="2"/>
        <v>21.9833</v>
      </c>
    </row>
    <row r="6" spans="1:10" ht="27" customHeight="1" x14ac:dyDescent="0.2">
      <c r="A6" s="72" t="s">
        <v>22</v>
      </c>
      <c r="B6" s="23" t="s">
        <v>21</v>
      </c>
      <c r="C6" s="24" t="s">
        <v>40</v>
      </c>
      <c r="D6" s="25">
        <v>1</v>
      </c>
      <c r="E6" s="25">
        <v>1152</v>
      </c>
      <c r="F6" s="25">
        <f t="shared" si="1"/>
        <v>1152</v>
      </c>
      <c r="G6" s="25">
        <v>12</v>
      </c>
      <c r="H6" s="25">
        <f t="shared" si="0"/>
        <v>96</v>
      </c>
      <c r="I6" s="26">
        <v>6.9</v>
      </c>
      <c r="J6" s="75">
        <f t="shared" si="2"/>
        <v>25.323</v>
      </c>
    </row>
    <row r="7" spans="1:10" ht="27" customHeight="1" x14ac:dyDescent="0.2">
      <c r="A7" s="72" t="s">
        <v>27</v>
      </c>
      <c r="B7" s="58" t="s">
        <v>26</v>
      </c>
      <c r="C7" s="24" t="s">
        <v>41</v>
      </c>
      <c r="D7" s="25">
        <v>4</v>
      </c>
      <c r="E7" s="25">
        <f>144*10</f>
        <v>1440</v>
      </c>
      <c r="F7" s="25">
        <f t="shared" si="1"/>
        <v>5760</v>
      </c>
      <c r="G7" s="25">
        <v>3</v>
      </c>
      <c r="H7" s="25">
        <f t="shared" si="0"/>
        <v>480</v>
      </c>
      <c r="I7" s="26">
        <v>15.41</v>
      </c>
      <c r="J7" s="75">
        <f t="shared" si="2"/>
        <v>56.554699999999997</v>
      </c>
    </row>
    <row r="8" spans="1:10" ht="27" customHeight="1" x14ac:dyDescent="0.2">
      <c r="A8" s="72" t="s">
        <v>22</v>
      </c>
      <c r="B8" s="73" t="s">
        <v>21</v>
      </c>
      <c r="C8" s="74" t="s">
        <v>40</v>
      </c>
      <c r="D8" s="25">
        <v>1</v>
      </c>
      <c r="E8" s="25">
        <v>120</v>
      </c>
      <c r="F8" s="25">
        <f t="shared" si="1"/>
        <v>120</v>
      </c>
      <c r="G8" s="25">
        <v>12</v>
      </c>
      <c r="H8" s="25">
        <f t="shared" si="0"/>
        <v>10</v>
      </c>
      <c r="I8" s="26">
        <v>6.8</v>
      </c>
      <c r="J8" s="75">
        <f t="shared" si="2"/>
        <v>24.956</v>
      </c>
    </row>
    <row r="9" spans="1:10" ht="27" customHeight="1" x14ac:dyDescent="0.2">
      <c r="A9" s="72" t="s">
        <v>33</v>
      </c>
      <c r="B9" s="73" t="s">
        <v>36</v>
      </c>
      <c r="C9" s="74" t="s">
        <v>37</v>
      </c>
      <c r="D9" s="25">
        <v>5</v>
      </c>
      <c r="E9" s="25">
        <v>240</v>
      </c>
      <c r="F9" s="25">
        <f t="shared" si="1"/>
        <v>1200</v>
      </c>
      <c r="G9" s="25">
        <v>3</v>
      </c>
      <c r="H9" s="25">
        <f t="shared" si="0"/>
        <v>80</v>
      </c>
      <c r="I9" s="26">
        <v>35.44</v>
      </c>
      <c r="J9" s="75">
        <f t="shared" si="2"/>
        <v>130.06479999999999</v>
      </c>
    </row>
    <row r="10" spans="1:10" ht="27" customHeight="1" x14ac:dyDescent="0.2">
      <c r="A10" s="72" t="s">
        <v>45</v>
      </c>
      <c r="B10" s="68" t="s">
        <v>21</v>
      </c>
      <c r="C10" s="69" t="s">
        <v>46</v>
      </c>
      <c r="D10" s="70">
        <v>1</v>
      </c>
      <c r="E10" s="25">
        <v>5760</v>
      </c>
      <c r="F10" s="25">
        <f t="shared" si="1"/>
        <v>5760</v>
      </c>
      <c r="G10" s="25">
        <v>12</v>
      </c>
      <c r="H10" s="25">
        <f t="shared" si="0"/>
        <v>480</v>
      </c>
      <c r="I10" s="26">
        <v>8.6</v>
      </c>
      <c r="J10" s="75">
        <f t="shared" si="2"/>
        <v>31.561999999999998</v>
      </c>
    </row>
    <row r="11" spans="1:10" ht="27" customHeight="1" x14ac:dyDescent="0.2">
      <c r="A11" s="72" t="s">
        <v>48</v>
      </c>
      <c r="B11" s="68" t="s">
        <v>49</v>
      </c>
      <c r="C11" s="69" t="s">
        <v>50</v>
      </c>
      <c r="D11" s="70">
        <v>4</v>
      </c>
      <c r="E11" s="25">
        <v>632</v>
      </c>
      <c r="F11" s="25">
        <f>E11*D11</f>
        <v>2528</v>
      </c>
      <c r="G11" s="25">
        <v>4</v>
      </c>
      <c r="H11" s="25">
        <f t="shared" si="0"/>
        <v>158</v>
      </c>
      <c r="I11" s="26">
        <v>25</v>
      </c>
      <c r="J11" s="75">
        <f t="shared" si="2"/>
        <v>91.75</v>
      </c>
    </row>
    <row r="12" spans="1:10" ht="27" customHeight="1" x14ac:dyDescent="0.2">
      <c r="A12" s="72" t="s">
        <v>52</v>
      </c>
      <c r="B12" s="68" t="s">
        <v>53</v>
      </c>
      <c r="C12" s="69" t="s">
        <v>54</v>
      </c>
      <c r="D12" s="70">
        <v>1</v>
      </c>
      <c r="E12" s="25">
        <v>1440</v>
      </c>
      <c r="F12" s="25">
        <f>E12*D12</f>
        <v>1440</v>
      </c>
      <c r="G12" s="25">
        <v>12</v>
      </c>
      <c r="H12" s="25">
        <f t="shared" si="0"/>
        <v>120</v>
      </c>
      <c r="I12" s="26">
        <v>5.9</v>
      </c>
      <c r="J12" s="75">
        <f t="shared" si="2"/>
        <v>21.653000000000002</v>
      </c>
    </row>
    <row r="13" spans="1:10" ht="27" customHeight="1" x14ac:dyDescent="0.2">
      <c r="A13" s="72" t="s">
        <v>55</v>
      </c>
      <c r="B13" s="68" t="s">
        <v>26</v>
      </c>
      <c r="C13" s="69" t="s">
        <v>56</v>
      </c>
      <c r="D13" s="70">
        <v>1</v>
      </c>
      <c r="E13" s="25">
        <v>336</v>
      </c>
      <c r="F13" s="25">
        <f>E13*D13</f>
        <v>336</v>
      </c>
      <c r="G13" s="25">
        <v>12</v>
      </c>
      <c r="H13" s="25">
        <f t="shared" si="0"/>
        <v>28</v>
      </c>
      <c r="I13" s="26">
        <v>4.5</v>
      </c>
      <c r="J13" s="75">
        <f t="shared" si="2"/>
        <v>16.515000000000001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ФПЗ_Э10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2026-06-26T12:16:11Z</dcterms:modified>
  <dc:language>ru-RU</dc:language>
</cp:coreProperties>
</file>