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nov\OneDrive\Desktop\РАБОЧАЯ\001 ИМПОРТ\001 containers\2026\001 UAE\UAE#5\"/>
    </mc:Choice>
  </mc:AlternateContent>
  <xr:revisionPtr revIDLastSave="0" documentId="13_ncr:1_{DA60AF78-A571-4A9D-BADD-BF67DCE526D3}" xr6:coauthVersionLast="47" xr6:coauthVersionMax="47" xr10:uidLastSave="{00000000-0000-0000-0000-000000000000}"/>
  <bookViews>
    <workbookView xWindow="15" yWindow="2040" windowWidth="35295" windowHeight="18060" xr2:uid="{00000000-000D-0000-FFFF-FFFF00000000}"/>
  </bookViews>
  <sheets>
    <sheet name="ФПЗ_Э5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" i="1" l="1"/>
  <c r="U4" i="1"/>
  <c r="U9" i="1"/>
  <c r="U8" i="1"/>
  <c r="U6" i="1"/>
  <c r="U5" i="1"/>
  <c r="Y5" i="1" s="1"/>
  <c r="U3" i="1"/>
  <c r="U2" i="1"/>
  <c r="X4" i="1"/>
  <c r="N3" i="1"/>
  <c r="N4" i="1"/>
  <c r="N5" i="1"/>
  <c r="N6" i="1"/>
  <c r="N7" i="1"/>
  <c r="N8" i="1"/>
  <c r="N9" i="1"/>
  <c r="N2" i="1"/>
  <c r="L3" i="1" l="1"/>
  <c r="L4" i="1"/>
  <c r="L5" i="1"/>
  <c r="L6" i="1"/>
  <c r="L7" i="1"/>
  <c r="L8" i="1"/>
  <c r="L9" i="1"/>
  <c r="L2" i="1"/>
  <c r="R15" i="1" l="1"/>
  <c r="T15" i="1"/>
  <c r="E13" i="1"/>
  <c r="S15" i="1"/>
  <c r="L13" i="1" l="1"/>
  <c r="L26" i="1" s="1"/>
  <c r="E2" i="1"/>
  <c r="E6" i="1"/>
  <c r="X6" i="1" s="1"/>
  <c r="E9" i="1"/>
  <c r="X3" i="1"/>
  <c r="X5" i="1"/>
  <c r="X7" i="1"/>
  <c r="X8" i="1"/>
  <c r="X9" i="1"/>
  <c r="M5" i="1" l="1"/>
  <c r="K5" i="1"/>
  <c r="O5" i="1" s="1"/>
  <c r="M3" i="1"/>
  <c r="K3" i="1"/>
  <c r="I3" i="1"/>
  <c r="X2" i="1"/>
  <c r="K4" i="1"/>
  <c r="O4" i="1" s="1"/>
  <c r="K6" i="1"/>
  <c r="O6" i="1" s="1"/>
  <c r="O7" i="1"/>
  <c r="U7" i="1" s="1"/>
  <c r="K8" i="1"/>
  <c r="O8" i="1" s="1"/>
  <c r="K9" i="1"/>
  <c r="K2" i="1"/>
  <c r="O2" i="1" s="1"/>
  <c r="M9" i="1"/>
  <c r="I9" i="1"/>
  <c r="M8" i="1"/>
  <c r="I8" i="1"/>
  <c r="M4" i="1"/>
  <c r="I4" i="1"/>
  <c r="O3" i="1" l="1"/>
  <c r="X10" i="1"/>
  <c r="I6" i="1"/>
  <c r="M6" i="1"/>
  <c r="O9" i="1"/>
  <c r="M7" i="1"/>
  <c r="I7" i="1"/>
  <c r="M2" i="1"/>
  <c r="I2" i="1"/>
  <c r="M13" i="1" l="1"/>
  <c r="I13" i="1"/>
  <c r="P3" i="1" l="1"/>
  <c r="P5" i="1"/>
  <c r="S5" i="1"/>
  <c r="R5" i="1"/>
  <c r="R4" i="1"/>
  <c r="S3" i="1"/>
  <c r="R3" i="1"/>
  <c r="P9" i="1"/>
  <c r="P2" i="1"/>
  <c r="R2" i="1"/>
  <c r="S7" i="1"/>
  <c r="P7" i="1"/>
  <c r="S8" i="1"/>
  <c r="R6" i="1"/>
  <c r="R8" i="1"/>
  <c r="S4" i="1"/>
  <c r="S6" i="1"/>
  <c r="R7" i="1"/>
  <c r="S2" i="1"/>
  <c r="M14" i="1"/>
  <c r="R9" i="1"/>
  <c r="S9" i="1"/>
  <c r="P8" i="1"/>
  <c r="P4" i="1"/>
  <c r="P6" i="1"/>
  <c r="Q5" i="1" l="1"/>
  <c r="T5" i="1" s="1"/>
  <c r="Q9" i="1"/>
  <c r="T9" i="1" s="1"/>
  <c r="Q3" i="1"/>
  <c r="T3" i="1" s="1"/>
  <c r="S13" i="1"/>
  <c r="Q8" i="1"/>
  <c r="T8" i="1" s="1"/>
  <c r="Y8" i="1" s="1"/>
  <c r="Q6" i="1"/>
  <c r="T6" i="1" s="1"/>
  <c r="Y6" i="1" s="1"/>
  <c r="Q4" i="1"/>
  <c r="T4" i="1" s="1"/>
  <c r="R13" i="1"/>
  <c r="P13" i="1"/>
  <c r="Q7" i="1"/>
  <c r="T7" i="1" s="1"/>
  <c r="Q2" i="1"/>
  <c r="T2" i="1" s="1"/>
  <c r="W9" i="1" l="1"/>
  <c r="Y9" i="1"/>
  <c r="W5" i="1"/>
  <c r="W7" i="1"/>
  <c r="Y7" i="1"/>
  <c r="W4" i="1"/>
  <c r="Y4" i="1"/>
  <c r="W3" i="1"/>
  <c r="Y3" i="1"/>
  <c r="Q13" i="1"/>
  <c r="Y2" i="1"/>
  <c r="T13" i="1"/>
  <c r="W6" i="1"/>
  <c r="W8" i="1"/>
  <c r="W2" i="1" l="1"/>
  <c r="Y10" i="1"/>
  <c r="Y14" i="1" s="1"/>
</calcChain>
</file>

<file path=xl/sharedStrings.xml><?xml version="1.0" encoding="utf-8"?>
<sst xmlns="http://schemas.openxmlformats.org/spreadsheetml/2006/main" count="87" uniqueCount="52">
  <si>
    <t xml:space="preserve">
Артикул</t>
  </si>
  <si>
    <t>Производитель</t>
  </si>
  <si>
    <t>Наименование</t>
  </si>
  <si>
    <t>Литраж</t>
  </si>
  <si>
    <t>Заказ</t>
  </si>
  <si>
    <t>Кол-во в кор</t>
  </si>
  <si>
    <t>Итого кор</t>
  </si>
  <si>
    <t>Цена за ШТ (Закупка в валюте поставщика)</t>
  </si>
  <si>
    <t>Итого за позицию</t>
  </si>
  <si>
    <t>Вес брутто ИТОГО</t>
  </si>
  <si>
    <t>Курс валюты</t>
  </si>
  <si>
    <t>Цена в рублях по Инвойсу Поставщика</t>
  </si>
  <si>
    <t xml:space="preserve">Сумма  за товар в руюлях </t>
  </si>
  <si>
    <t xml:space="preserve">Таможня </t>
  </si>
  <si>
    <t>Доставка</t>
  </si>
  <si>
    <t>Услуги брокеров</t>
  </si>
  <si>
    <t>Общая сумма закупа + ТО и доставка</t>
  </si>
  <si>
    <t>себестоимость за шт</t>
  </si>
  <si>
    <t>Дистриб</t>
  </si>
  <si>
    <t>рентабельность</t>
  </si>
  <si>
    <t>Сумма реализации</t>
  </si>
  <si>
    <t>Стоимость ящика закуп</t>
  </si>
  <si>
    <t>0450000115</t>
  </si>
  <si>
    <t>Hyundai/Kia</t>
  </si>
  <si>
    <t>HYUNDAI ATF SP-IV (1л) 0450000115 Масло трансмиссионное, шт</t>
  </si>
  <si>
    <t>BMW</t>
  </si>
  <si>
    <t>83212465843</t>
  </si>
  <si>
    <t>Моторное масло BMW TwinPower Turbo Longlife-01 5W-30 кан. 1л</t>
  </si>
  <si>
    <t>Общий вес с паллетами</t>
  </si>
  <si>
    <t>введите</t>
  </si>
  <si>
    <t xml:space="preserve">Ожидаемый % рент. </t>
  </si>
  <si>
    <t>MERCEDES-BENZ Genuine MB 229.52 5W-30</t>
  </si>
  <si>
    <t>MERSEDES-BENZ</t>
  </si>
  <si>
    <t>Mitsubishi</t>
  </si>
  <si>
    <t>ENG OIL 5W30 (SN) FS (MZ320864)</t>
  </si>
  <si>
    <t>ENG OIL 5W30 (SN) FS (MZ320863)</t>
  </si>
  <si>
    <t>MZ321233</t>
  </si>
  <si>
    <t>MZ321232</t>
  </si>
  <si>
    <t>Цена за ШТ (Закупка в валюте поставщика) + КМ</t>
  </si>
  <si>
    <t>До корректировки</t>
  </si>
  <si>
    <t>Разница</t>
  </si>
  <si>
    <t>A000989681013FSEW</t>
  </si>
  <si>
    <t>A000989681011FSEW</t>
  </si>
  <si>
    <t>0888602905</t>
  </si>
  <si>
    <t>Toyota</t>
  </si>
  <si>
    <t>CVT Flued TC</t>
  </si>
  <si>
    <t>A000989671013FBDW</t>
  </si>
  <si>
    <t>MERCEDES-BENZ Genuine MB 229.5 5W-40</t>
  </si>
  <si>
    <t>Количество</t>
  </si>
  <si>
    <t xml:space="preserve">Адрес доставки: </t>
  </si>
  <si>
    <t>143930, МО, Балашиха, шоссе Ильича, д. 1</t>
  </si>
  <si>
    <t>ИТОГО ФАКТ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</si>
</sst>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#,##0.00&quot; ₽&quot;"/>
    <numFmt numFmtId="166" formatCode="0.0000"/>
    <numFmt numFmtId="167" formatCode="_-[$$-1009]* #,##0.00_-;\-[$$-1009]* #,##0.00_-;_-[$$-1009]* \-??_-;_-@_-"/>
    <numFmt numFmtId="168" formatCode="#,##0.00\ [$₽-419]"/>
    <numFmt numFmtId="169" formatCode="0.0%"/>
    <numFmt numFmtId="170" formatCode="#,##0.00\ [$₽-419];[Red]\-#,##0.00\ [$₽-419]"/>
    <numFmt numFmtId="171" formatCode="0&quot; кг.&quot;"/>
    <numFmt numFmtId="172" formatCode="#,##0.0"/>
  </numFmts>
  <fonts count="15" x14ac:knownFonts="1">
    <font>
      <sz val="10"/>
      <color theme="1"/>
      <name val="Arial"/>
    </font>
    <font>
      <sz val="10"/>
      <name val="Arial"/>
      <family val="2"/>
      <charset val="204"/>
    </font>
    <font>
      <sz val="10"/>
      <name val="Calibri Light"/>
      <family val="2"/>
      <charset val="204"/>
    </font>
    <font>
      <b/>
      <sz val="10"/>
      <color indexed="2"/>
      <name val="Calibri Light"/>
      <family val="2"/>
      <charset val="204"/>
    </font>
    <font>
      <b/>
      <sz val="10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color indexed="2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color rgb="FFC00000"/>
      <name val="Calibri Light"/>
      <family val="2"/>
      <charset val="204"/>
    </font>
    <font>
      <b/>
      <sz val="11"/>
      <name val="Calibri Light"/>
      <family val="2"/>
      <charset val="204"/>
    </font>
    <font>
      <sz val="11"/>
      <color rgb="FFC9211E"/>
      <name val="Calibri Light"/>
      <family val="2"/>
      <charset val="204"/>
    </font>
    <font>
      <b/>
      <sz val="12"/>
      <color rgb="FF00A933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D7D7"/>
        <bgColor rgb="FFDDDDDD"/>
      </patternFill>
    </fill>
    <fill>
      <patternFill patternType="solid">
        <fgColor indexed="65"/>
        <bgColor indexed="26"/>
      </patternFill>
    </fill>
    <fill>
      <patternFill patternType="solid">
        <fgColor rgb="FFED7D31"/>
        <bgColor indexed="29"/>
      </patternFill>
    </fill>
    <fill>
      <patternFill patternType="solid">
        <fgColor indexed="5"/>
        <bgColor indexed="5"/>
      </patternFill>
    </fill>
    <fill>
      <patternFill patternType="solid">
        <fgColor rgb="FF81D41A"/>
        <bgColor indexed="55"/>
      </patternFill>
    </fill>
    <fill>
      <patternFill patternType="solid">
        <fgColor rgb="FFDDDDDD"/>
        <bgColor rgb="FFFFD7D7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Border="0" applyProtection="0"/>
  </cellStyleXfs>
  <cellXfs count="68">
    <xf numFmtId="0" fontId="0" fillId="0" borderId="0" xfId="0"/>
    <xf numFmtId="49" fontId="2" fillId="0" borderId="0" xfId="0" applyNumberFormat="1" applyFont="1" applyAlignment="1" applyProtection="1">
      <alignment vertical="center" wrapText="1"/>
    </xf>
    <xf numFmtId="1" fontId="2" fillId="0" borderId="0" xfId="0" applyNumberFormat="1" applyFont="1" applyAlignment="1" applyProtection="1">
      <alignment horizontal="left" vertical="center" wrapText="1"/>
    </xf>
    <xf numFmtId="2" fontId="2" fillId="0" borderId="0" xfId="0" applyNumberFormat="1" applyFont="1" applyAlignment="1" applyProtection="1">
      <alignment horizontal="left" vertical="center" wrapText="1"/>
    </xf>
    <xf numFmtId="1" fontId="3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wrapText="1"/>
    </xf>
    <xf numFmtId="1" fontId="4" fillId="0" borderId="0" xfId="0" applyNumberFormat="1" applyFont="1" applyAlignment="1" applyProtection="1">
      <alignment horizontal="center" wrapText="1"/>
    </xf>
    <xf numFmtId="2" fontId="2" fillId="0" borderId="0" xfId="0" applyNumberFormat="1" applyFont="1" applyAlignment="1" applyProtection="1">
      <alignment horizontal="center" wrapText="1"/>
    </xf>
    <xf numFmtId="0" fontId="2" fillId="0" borderId="0" xfId="0" applyFont="1" applyProtection="1"/>
    <xf numFmtId="49" fontId="5" fillId="2" borderId="1" xfId="0" applyNumberFormat="1" applyFont="1" applyFill="1" applyBorder="1" applyAlignment="1" applyProtection="1">
      <alignment horizontal="center" vertical="center" wrapText="1"/>
    </xf>
    <xf numFmtId="1" fontId="5" fillId="2" borderId="1" xfId="0" applyNumberFormat="1" applyFont="1" applyFill="1" applyBorder="1" applyAlignment="1" applyProtection="1">
      <alignment horizontal="center" vertical="center" wrapText="1"/>
    </xf>
    <xf numFmtId="2" fontId="5" fillId="2" borderId="1" xfId="0" applyNumberFormat="1" applyFont="1" applyFill="1" applyBorder="1" applyAlignment="1" applyProtection="1">
      <alignment horizontal="center" vertical="center" wrapText="1"/>
    </xf>
    <xf numFmtId="1" fontId="6" fillId="2" borderId="1" xfId="0" applyNumberFormat="1" applyFont="1" applyFill="1" applyBorder="1" applyAlignment="1" applyProtection="1">
      <alignment horizontal="center" vertical="center" wrapText="1"/>
    </xf>
    <xf numFmtId="2" fontId="5" fillId="2" borderId="2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5" fontId="5" fillId="3" borderId="1" xfId="0" applyNumberFormat="1" applyFont="1" applyFill="1" applyBorder="1" applyAlignment="1" applyProtection="1">
      <alignment horizontal="center" vertical="center" wrapText="1"/>
    </xf>
    <xf numFmtId="165" fontId="5" fillId="0" borderId="3" xfId="0" applyNumberFormat="1" applyFont="1" applyBorder="1" applyAlignment="1" applyProtection="1">
      <alignment horizontal="center" vertical="center" wrapText="1"/>
    </xf>
    <xf numFmtId="2" fontId="5" fillId="3" borderId="1" xfId="0" applyNumberFormat="1" applyFont="1" applyFill="1" applyBorder="1" applyAlignment="1" applyProtection="1">
      <alignment horizontal="center" vertical="center" wrapText="1"/>
    </xf>
    <xf numFmtId="1" fontId="6" fillId="0" borderId="1" xfId="0" applyNumberFormat="1" applyFont="1" applyBorder="1" applyAlignment="1" applyProtection="1">
      <alignment horizontal="center" vertical="center" wrapText="1"/>
    </xf>
    <xf numFmtId="1" fontId="5" fillId="4" borderId="1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left" vertical="center" wrapText="1"/>
    </xf>
    <xf numFmtId="4" fontId="7" fillId="0" borderId="4" xfId="0" applyNumberFormat="1" applyFont="1" applyBorder="1" applyAlignment="1" applyProtection="1">
      <alignment horizontal="center" vertical="center" wrapText="1"/>
    </xf>
    <xf numFmtId="167" fontId="7" fillId="0" borderId="2" xfId="2" applyNumberFormat="1" applyFont="1" applyBorder="1" applyAlignment="1" applyProtection="1">
      <alignment horizontal="right" vertical="center"/>
    </xf>
    <xf numFmtId="1" fontId="7" fillId="5" borderId="4" xfId="0" applyNumberFormat="1" applyFont="1" applyFill="1" applyBorder="1" applyAlignment="1" applyProtection="1">
      <alignment horizontal="center" vertical="center" wrapText="1"/>
    </xf>
    <xf numFmtId="168" fontId="7" fillId="0" borderId="4" xfId="0" applyNumberFormat="1" applyFont="1" applyBorder="1" applyAlignment="1" applyProtection="1">
      <alignment horizontal="right" vertical="center" wrapText="1"/>
    </xf>
    <xf numFmtId="168" fontId="6" fillId="0" borderId="4" xfId="0" applyNumberFormat="1" applyFont="1" applyBorder="1" applyAlignment="1" applyProtection="1">
      <alignment horizontal="right" vertical="center" wrapText="1"/>
    </xf>
    <xf numFmtId="1" fontId="7" fillId="4" borderId="4" xfId="0" applyNumberFormat="1" applyFont="1" applyFill="1" applyBorder="1" applyAlignment="1" applyProtection="1">
      <alignment horizontal="center" vertical="center" wrapText="1"/>
    </xf>
    <xf numFmtId="169" fontId="1" fillId="0" borderId="4" xfId="3" applyNumberFormat="1" applyFont="1" applyBorder="1" applyProtection="1"/>
    <xf numFmtId="165" fontId="7" fillId="0" borderId="4" xfId="0" applyNumberFormat="1" applyFont="1" applyBorder="1" applyAlignment="1" applyProtection="1">
      <alignment horizontal="right" vertical="center" wrapText="1"/>
    </xf>
    <xf numFmtId="168" fontId="7" fillId="0" borderId="0" xfId="0" applyNumberFormat="1" applyFont="1" applyAlignment="1" applyProtection="1">
      <alignment horizontal="right" vertical="center" wrapText="1"/>
    </xf>
    <xf numFmtId="49" fontId="7" fillId="0" borderId="0" xfId="0" applyNumberFormat="1" applyFont="1" applyAlignment="1" applyProtection="1">
      <alignment vertical="center" wrapText="1"/>
    </xf>
    <xf numFmtId="1" fontId="7" fillId="0" borderId="0" xfId="0" applyNumberFormat="1" applyFont="1" applyAlignment="1" applyProtection="1">
      <alignment horizontal="left" vertical="center" wrapText="1"/>
    </xf>
    <xf numFmtId="2" fontId="7" fillId="0" borderId="0" xfId="0" applyNumberFormat="1" applyFont="1" applyAlignment="1" applyProtection="1">
      <alignment horizontal="left" vertical="center" wrapText="1"/>
    </xf>
    <xf numFmtId="1" fontId="5" fillId="6" borderId="0" xfId="0" applyNumberFormat="1" applyFont="1" applyFill="1" applyAlignment="1" applyProtection="1">
      <alignment horizontal="center" wrapText="1"/>
    </xf>
    <xf numFmtId="1" fontId="8" fillId="0" borderId="0" xfId="0" applyNumberFormat="1" applyFont="1" applyAlignment="1" applyProtection="1">
      <alignment horizontal="center" wrapText="1"/>
    </xf>
    <xf numFmtId="170" fontId="9" fillId="7" borderId="0" xfId="0" applyNumberFormat="1" applyFont="1" applyFill="1" applyProtection="1"/>
    <xf numFmtId="0" fontId="10" fillId="7" borderId="0" xfId="0" applyFont="1" applyFill="1" applyAlignment="1" applyProtection="1">
      <alignment horizontal="center"/>
    </xf>
    <xf numFmtId="0" fontId="0" fillId="0" borderId="0" xfId="0" applyProtection="1"/>
    <xf numFmtId="165" fontId="11" fillId="0" borderId="0" xfId="0" applyNumberFormat="1" applyFont="1" applyAlignment="1" applyProtection="1">
      <alignment horizontal="right" wrapText="1"/>
    </xf>
    <xf numFmtId="165" fontId="11" fillId="0" borderId="0" xfId="0" applyNumberFormat="1" applyFont="1" applyAlignment="1" applyProtection="1">
      <alignment horizontal="center" wrapText="1"/>
    </xf>
    <xf numFmtId="172" fontId="1" fillId="0" borderId="0" xfId="3" applyNumberFormat="1" applyFont="1" applyProtection="1"/>
    <xf numFmtId="49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left" vertical="center" wrapText="1"/>
    </xf>
    <xf numFmtId="4" fontId="7" fillId="0" borderId="0" xfId="0" applyNumberFormat="1" applyFont="1" applyBorder="1" applyAlignment="1" applyProtection="1">
      <alignment horizontal="center" vertical="center" wrapText="1"/>
    </xf>
    <xf numFmtId="167" fontId="7" fillId="0" borderId="0" xfId="2" applyNumberFormat="1" applyFont="1" applyBorder="1" applyAlignment="1" applyProtection="1">
      <alignment horizontal="right" vertical="center"/>
    </xf>
    <xf numFmtId="168" fontId="7" fillId="0" borderId="0" xfId="0" applyNumberFormat="1" applyFont="1" applyBorder="1" applyAlignment="1" applyProtection="1">
      <alignment horizontal="right" vertical="center" wrapText="1"/>
    </xf>
    <xf numFmtId="168" fontId="6" fillId="0" borderId="0" xfId="0" applyNumberFormat="1" applyFont="1" applyBorder="1" applyAlignment="1" applyProtection="1">
      <alignment horizontal="right" vertical="center" wrapText="1"/>
    </xf>
    <xf numFmtId="169" fontId="1" fillId="0" borderId="0" xfId="3" applyNumberFormat="1" applyFont="1" applyBorder="1" applyProtection="1"/>
    <xf numFmtId="165" fontId="7" fillId="0" borderId="0" xfId="0" applyNumberFormat="1" applyFont="1" applyBorder="1" applyAlignment="1" applyProtection="1">
      <alignment horizontal="right" vertical="center" wrapText="1"/>
    </xf>
    <xf numFmtId="167" fontId="9" fillId="6" borderId="2" xfId="0" applyNumberFormat="1" applyFont="1" applyFill="1" applyBorder="1" applyAlignment="1" applyProtection="1">
      <alignment horizontal="left" vertical="center" wrapText="1"/>
    </xf>
    <xf numFmtId="171" fontId="8" fillId="5" borderId="2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Fill="1" applyBorder="1" applyAlignment="1" applyProtection="1">
      <alignment horizontal="center" vertical="center" wrapText="1"/>
    </xf>
    <xf numFmtId="166" fontId="12" fillId="0" borderId="4" xfId="0" applyNumberFormat="1" applyFont="1" applyBorder="1" applyAlignment="1" applyProtection="1">
      <alignment horizontal="center" vertical="center" wrapText="1"/>
    </xf>
    <xf numFmtId="166" fontId="12" fillId="0" borderId="4" xfId="0" applyNumberFormat="1" applyFont="1" applyBorder="1" applyAlignment="1" applyProtection="1">
      <alignment horizontal="left" vertical="center" wrapText="1"/>
    </xf>
    <xf numFmtId="167" fontId="9" fillId="6" borderId="2" xfId="0" applyNumberFormat="1" applyFont="1" applyFill="1" applyBorder="1" applyProtection="1"/>
    <xf numFmtId="1" fontId="8" fillId="5" borderId="2" xfId="0" applyNumberFormat="1" applyFont="1" applyFill="1" applyBorder="1" applyAlignment="1" applyProtection="1">
      <alignment horizontal="center" wrapText="1"/>
    </xf>
    <xf numFmtId="49" fontId="12" fillId="0" borderId="4" xfId="0" applyNumberFormat="1" applyFont="1" applyBorder="1" applyAlignment="1" applyProtection="1">
      <alignment horizontal="center" vertical="center" wrapText="1"/>
    </xf>
    <xf numFmtId="165" fontId="13" fillId="0" borderId="0" xfId="0" applyNumberFormat="1" applyFont="1" applyBorder="1" applyAlignment="1" applyProtection="1">
      <alignment horizontal="right" vertical="center" wrapText="1"/>
    </xf>
    <xf numFmtId="0" fontId="14" fillId="8" borderId="2" xfId="0" applyFont="1" applyFill="1" applyBorder="1" applyAlignment="1">
      <alignment horizontal="center" vertical="center"/>
    </xf>
    <xf numFmtId="10" fontId="14" fillId="8" borderId="2" xfId="3" applyNumberFormat="1" applyFont="1" applyFill="1" applyBorder="1" applyAlignment="1" applyProtection="1">
      <alignment horizontal="center" vertical="center"/>
    </xf>
    <xf numFmtId="4" fontId="7" fillId="9" borderId="4" xfId="0" applyNumberFormat="1" applyFont="1" applyFill="1" applyBorder="1" applyAlignment="1" applyProtection="1">
      <alignment horizontal="center" vertical="center" wrapText="1"/>
    </xf>
    <xf numFmtId="170" fontId="9" fillId="7" borderId="0" xfId="0" applyNumberFormat="1" applyFont="1" applyFill="1" applyAlignment="1" applyProtection="1">
      <alignment horizontal="center" vertical="center"/>
    </xf>
  </cellXfs>
  <cellStyles count="4">
    <cellStyle name="Normal" xfId="0" builtinId="0"/>
    <cellStyle name="Normal 2" xfId="1" xr:uid="{00000000-0005-0000-0000-000000000000}"/>
    <cellStyle name="Percent" xfId="3" builtinId="5"/>
    <cellStyle name="Обычный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H35"/>
  <sheetViews>
    <sheetView tabSelected="1" zoomScale="85" workbookViewId="0">
      <pane xSplit="5" ySplit="1" topLeftCell="F2" activePane="bottomRight" state="frozen"/>
      <selection sqref="A1:H5"/>
      <selection pane="topRight"/>
      <selection pane="bottomLeft"/>
      <selection pane="bottomRight" activeCell="N6" sqref="N6"/>
    </sheetView>
  </sheetViews>
  <sheetFormatPr defaultColWidth="11.5703125" defaultRowHeight="12.75" x14ac:dyDescent="0.2"/>
  <cols>
    <col min="1" max="1" width="25.7109375" style="1" customWidth="1"/>
    <col min="2" max="2" width="24.85546875" style="2" customWidth="1"/>
    <col min="3" max="3" width="44.7109375" style="2" bestFit="1" customWidth="1"/>
    <col min="4" max="4" width="11.7109375" style="3" customWidth="1"/>
    <col min="5" max="7" width="10.85546875" style="4" customWidth="1"/>
    <col min="8" max="8" width="10.42578125" style="5" customWidth="1"/>
    <col min="9" max="9" width="10.7109375" style="6" customWidth="1"/>
    <col min="10" max="11" width="22.28515625" style="6" bestFit="1" customWidth="1"/>
    <col min="12" max="12" width="16.42578125" style="7" customWidth="1"/>
    <col min="13" max="13" width="11.5703125" style="5"/>
    <col min="14" max="14" width="11.5703125" style="7"/>
    <col min="15" max="15" width="12.5703125" style="5" customWidth="1"/>
    <col min="16" max="16" width="18.5703125" style="5" customWidth="1"/>
    <col min="17" max="18" width="17.5703125" style="7" customWidth="1"/>
    <col min="19" max="19" width="14.140625" style="7" customWidth="1"/>
    <col min="20" max="20" width="21.5703125" style="7" customWidth="1"/>
    <col min="21" max="21" width="19" style="5" bestFit="1" customWidth="1"/>
    <col min="22" max="22" width="17.5703125" style="5" customWidth="1"/>
    <col min="23" max="23" width="19.140625" style="5" customWidth="1"/>
    <col min="24" max="24" width="34.42578125" style="5" customWidth="1"/>
    <col min="25" max="25" width="28" style="5" customWidth="1"/>
    <col min="26" max="26" width="15.7109375" style="5" customWidth="1"/>
    <col min="27" max="27" width="11.5703125" style="5"/>
    <col min="28" max="28" width="44.140625" style="5" customWidth="1"/>
    <col min="29" max="1020" width="11.5703125" style="5"/>
    <col min="1021" max="1022" width="11.5703125" style="8"/>
  </cols>
  <sheetData>
    <row r="1" spans="1:1022" ht="60.75" customHeight="1" x14ac:dyDescent="0.25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2" t="s">
        <v>39</v>
      </c>
      <c r="G1" s="12" t="s">
        <v>40</v>
      </c>
      <c r="H1" s="10" t="s">
        <v>5</v>
      </c>
      <c r="I1" s="10" t="s">
        <v>6</v>
      </c>
      <c r="J1" s="10" t="s">
        <v>7</v>
      </c>
      <c r="K1" s="10" t="s">
        <v>38</v>
      </c>
      <c r="L1" s="13" t="s">
        <v>8</v>
      </c>
      <c r="M1" s="14" t="s">
        <v>9</v>
      </c>
      <c r="N1" s="11" t="s">
        <v>10</v>
      </c>
      <c r="O1" s="15" t="s">
        <v>11</v>
      </c>
      <c r="P1" s="16" t="s">
        <v>12</v>
      </c>
      <c r="Q1" s="17" t="s">
        <v>13</v>
      </c>
      <c r="R1" s="17" t="s">
        <v>14</v>
      </c>
      <c r="S1" s="17" t="s">
        <v>15</v>
      </c>
      <c r="T1" s="17" t="s">
        <v>16</v>
      </c>
      <c r="U1" s="18" t="s">
        <v>17</v>
      </c>
      <c r="V1" s="19" t="s">
        <v>18</v>
      </c>
      <c r="W1" s="20" t="s">
        <v>19</v>
      </c>
      <c r="X1" s="20" t="s">
        <v>20</v>
      </c>
      <c r="Y1" s="20" t="s">
        <v>21</v>
      </c>
      <c r="Z1" s="21"/>
      <c r="AA1" s="21"/>
      <c r="AB1" s="21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  <c r="ALM1" s="22"/>
      <c r="ALN1" s="22"/>
      <c r="ALO1" s="22"/>
      <c r="ALP1" s="22"/>
      <c r="ALQ1" s="22"/>
      <c r="ALR1" s="22"/>
      <c r="ALS1" s="22"/>
      <c r="ALT1" s="22"/>
      <c r="ALU1" s="22"/>
      <c r="ALV1" s="22"/>
      <c r="ALW1" s="22"/>
      <c r="ALX1" s="22"/>
      <c r="ALY1" s="22"/>
      <c r="ALZ1" s="22"/>
      <c r="AMA1" s="22"/>
      <c r="AMB1" s="22"/>
      <c r="AMC1" s="22"/>
      <c r="AMD1" s="22"/>
      <c r="AME1" s="22"/>
      <c r="AMF1" s="22"/>
      <c r="AMG1" s="22"/>
      <c r="AMH1" s="22"/>
    </row>
    <row r="2" spans="1:1022" ht="31.5" x14ac:dyDescent="0.25">
      <c r="A2" s="23" t="s">
        <v>22</v>
      </c>
      <c r="B2" s="24" t="s">
        <v>23</v>
      </c>
      <c r="C2" s="25" t="s">
        <v>24</v>
      </c>
      <c r="D2" s="26">
        <v>1</v>
      </c>
      <c r="E2" s="26">
        <f>1008*12</f>
        <v>12096</v>
      </c>
      <c r="F2" s="26"/>
      <c r="G2" s="26"/>
      <c r="H2" s="26">
        <v>24</v>
      </c>
      <c r="I2" s="26">
        <f t="shared" ref="I2:I9" si="0">E2/H2</f>
        <v>504</v>
      </c>
      <c r="J2" s="27">
        <v>5.0999999999999996</v>
      </c>
      <c r="K2" s="27">
        <f>J2+17/N2</f>
        <v>5.3204586361647106</v>
      </c>
      <c r="L2" s="27">
        <f>J2*E2</f>
        <v>61689.599999999999</v>
      </c>
      <c r="M2" s="28">
        <f t="shared" ref="M2:M9" si="1">D2*E2*0.97</f>
        <v>11733.119999999999</v>
      </c>
      <c r="N2" s="24">
        <f>21.0114362909106*3.67</f>
        <v>77.111971187641899</v>
      </c>
      <c r="O2" s="29">
        <f>K2*N2*1.0425</f>
        <v>427.70757281189509</v>
      </c>
      <c r="P2" s="29">
        <f t="shared" ref="P2:P9" si="2">$P$15/$L$13*L2</f>
        <v>4757442.6762882695</v>
      </c>
      <c r="Q2" s="29">
        <f t="shared" ref="Q2:Q9" si="3">$Q$15/$L$13*L2</f>
        <v>1378553.110159823</v>
      </c>
      <c r="R2" s="29">
        <f t="shared" ref="R2:R9" si="4">$R$15/$M$13*M2</f>
        <v>865715.65929590841</v>
      </c>
      <c r="S2" s="29">
        <f t="shared" ref="S2:S9" si="5">$S$15/$M$13*M2</f>
        <v>26374.881065651756</v>
      </c>
      <c r="T2" s="29">
        <f t="shared" ref="T2:T9" si="6">P2+Q2+R2+S2</f>
        <v>7028086.3268096521</v>
      </c>
      <c r="U2" s="30">
        <f>O2*($U$15/$P$15)</f>
        <v>642.80379348003828</v>
      </c>
      <c r="V2" s="31">
        <v>800</v>
      </c>
      <c r="W2" s="32">
        <f>IFERROR((V2-U2)/U2,"")</f>
        <v>0.24454772687156415</v>
      </c>
      <c r="X2" s="33">
        <f t="shared" ref="X2:X9" si="7">V2*E2</f>
        <v>9676800</v>
      </c>
      <c r="Y2" s="33">
        <f t="shared" ref="Y2:Y9" si="8">IFERROR(U2*E2,"")</f>
        <v>7775354.6859345427</v>
      </c>
      <c r="Z2" s="21"/>
      <c r="AA2" s="21"/>
      <c r="AB2" s="21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  <c r="AMF2" s="22"/>
      <c r="AMG2" s="22"/>
      <c r="AMH2" s="22"/>
    </row>
    <row r="3" spans="1:1022" ht="15.75" x14ac:dyDescent="0.25">
      <c r="A3" s="23" t="s">
        <v>46</v>
      </c>
      <c r="B3" s="24" t="s">
        <v>32</v>
      </c>
      <c r="C3" s="25" t="s">
        <v>31</v>
      </c>
      <c r="D3" s="26">
        <v>5</v>
      </c>
      <c r="E3" s="26">
        <v>600</v>
      </c>
      <c r="F3" s="26"/>
      <c r="G3" s="26"/>
      <c r="H3" s="26">
        <v>3</v>
      </c>
      <c r="I3" s="26">
        <f t="shared" si="0"/>
        <v>200</v>
      </c>
      <c r="J3" s="27">
        <v>35.14</v>
      </c>
      <c r="K3" s="27">
        <f>J3+17/N3</f>
        <v>35.360458636164708</v>
      </c>
      <c r="L3" s="27">
        <f t="shared" ref="L3:L9" si="9">J3*E3</f>
        <v>21084</v>
      </c>
      <c r="M3" s="28">
        <f>D3*E3*0.97</f>
        <v>2910</v>
      </c>
      <c r="N3" s="24">
        <f t="shared" ref="N3:N9" si="10">21.0114362909106*3.67</f>
        <v>77.111971187641899</v>
      </c>
      <c r="O3" s="29">
        <f t="shared" ref="O3" si="11">K3*N3*1.0425</f>
        <v>2842.6000409039198</v>
      </c>
      <c r="P3" s="29">
        <f t="shared" si="2"/>
        <v>1625977.8210081097</v>
      </c>
      <c r="Q3" s="29">
        <f t="shared" si="3"/>
        <v>471155.81515538611</v>
      </c>
      <c r="R3" s="29">
        <f t="shared" si="4"/>
        <v>214711.22502378683</v>
      </c>
      <c r="S3" s="29">
        <f t="shared" si="5"/>
        <v>6541.3891531874397</v>
      </c>
      <c r="T3" s="29">
        <f t="shared" ref="T3" si="12">P3+Q3+R3+S3</f>
        <v>2318386.2503404706</v>
      </c>
      <c r="U3" s="30">
        <f t="shared" ref="U3:U9" si="13">O3*($U$15/$P$15)</f>
        <v>4272.1574407174812</v>
      </c>
      <c r="V3" s="31">
        <v>4850</v>
      </c>
      <c r="W3" s="32">
        <f>IFERROR((V3-U3)/U3,"")</f>
        <v>0.13525778656356677</v>
      </c>
      <c r="X3" s="33">
        <f t="shared" si="7"/>
        <v>2910000</v>
      </c>
      <c r="Y3" s="33">
        <f t="shared" si="8"/>
        <v>2563294.4644304886</v>
      </c>
      <c r="Z3" s="21"/>
      <c r="AA3" s="21"/>
      <c r="AB3" s="21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</row>
    <row r="4" spans="1:1022" ht="30" customHeight="1" x14ac:dyDescent="0.25">
      <c r="A4" s="23" t="s">
        <v>41</v>
      </c>
      <c r="B4" s="24" t="s">
        <v>32</v>
      </c>
      <c r="C4" s="25" t="s">
        <v>47</v>
      </c>
      <c r="D4" s="26">
        <v>5</v>
      </c>
      <c r="E4" s="26">
        <v>240</v>
      </c>
      <c r="F4" s="26"/>
      <c r="G4" s="26"/>
      <c r="H4" s="26">
        <v>12</v>
      </c>
      <c r="I4" s="26">
        <f t="shared" si="0"/>
        <v>20</v>
      </c>
      <c r="J4" s="27">
        <v>29.09</v>
      </c>
      <c r="K4" s="27">
        <f t="shared" ref="K4:K9" si="14">J4+17/N4</f>
        <v>29.310458636164711</v>
      </c>
      <c r="L4" s="27">
        <f t="shared" si="9"/>
        <v>6981.6</v>
      </c>
      <c r="M4" s="28">
        <f t="shared" si="1"/>
        <v>1164</v>
      </c>
      <c r="N4" s="24">
        <f t="shared" si="10"/>
        <v>77.111971187641899</v>
      </c>
      <c r="O4" s="29">
        <f t="shared" ref="O4:O8" si="15">K4*N4*1.0425</f>
        <v>2356.2451996270638</v>
      </c>
      <c r="P4" s="29">
        <f t="shared" si="2"/>
        <v>538414.28358709067</v>
      </c>
      <c r="Q4" s="29">
        <f t="shared" si="3"/>
        <v>156015.05592339422</v>
      </c>
      <c r="R4" s="29">
        <f t="shared" si="4"/>
        <v>85884.490009514731</v>
      </c>
      <c r="S4" s="29">
        <f t="shared" si="5"/>
        <v>2616.555661274976</v>
      </c>
      <c r="T4" s="29">
        <f t="shared" si="6"/>
        <v>782930.3851812745</v>
      </c>
      <c r="U4" s="30">
        <f>O4*($U$15/$P$15)</f>
        <v>3541.2123819363051</v>
      </c>
      <c r="V4" s="31">
        <v>4780</v>
      </c>
      <c r="W4" s="32">
        <f t="shared" ref="W4:W8" si="16">IFERROR((V4-U4)/U4,"")</f>
        <v>0.34982019841078732</v>
      </c>
      <c r="X4" s="33">
        <f t="shared" si="7"/>
        <v>1147200</v>
      </c>
      <c r="Y4" s="33">
        <f t="shared" si="8"/>
        <v>849890.97166471323</v>
      </c>
      <c r="Z4" s="21"/>
      <c r="AA4" s="21"/>
      <c r="AB4" s="21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  <c r="MH4" s="22"/>
      <c r="MI4" s="22"/>
      <c r="MJ4" s="22"/>
      <c r="MK4" s="22"/>
      <c r="ML4" s="22"/>
      <c r="MM4" s="22"/>
      <c r="MN4" s="22"/>
      <c r="MO4" s="22"/>
      <c r="MP4" s="22"/>
      <c r="MQ4" s="22"/>
      <c r="MR4" s="22"/>
      <c r="MS4" s="22"/>
      <c r="MT4" s="22"/>
      <c r="MU4" s="22"/>
      <c r="MV4" s="22"/>
      <c r="MW4" s="22"/>
      <c r="MX4" s="22"/>
      <c r="MY4" s="22"/>
      <c r="MZ4" s="22"/>
      <c r="NA4" s="22"/>
      <c r="NB4" s="22"/>
      <c r="NC4" s="22"/>
      <c r="ND4" s="22"/>
      <c r="NE4" s="22"/>
      <c r="NF4" s="22"/>
      <c r="NG4" s="22"/>
      <c r="NH4" s="22"/>
      <c r="NI4" s="22"/>
      <c r="NJ4" s="22"/>
      <c r="NK4" s="22"/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  <c r="NY4" s="22"/>
      <c r="NZ4" s="22"/>
      <c r="OA4" s="22"/>
      <c r="OB4" s="22"/>
      <c r="OC4" s="22"/>
      <c r="OD4" s="22"/>
      <c r="OE4" s="22"/>
      <c r="OF4" s="22"/>
      <c r="OG4" s="22"/>
      <c r="OH4" s="22"/>
      <c r="OI4" s="22"/>
      <c r="OJ4" s="22"/>
      <c r="OK4" s="22"/>
      <c r="OL4" s="22"/>
      <c r="OM4" s="22"/>
      <c r="ON4" s="22"/>
      <c r="OO4" s="22"/>
      <c r="OP4" s="22"/>
      <c r="OQ4" s="22"/>
      <c r="OR4" s="22"/>
      <c r="OS4" s="22"/>
      <c r="OT4" s="22"/>
      <c r="OU4" s="22"/>
      <c r="OV4" s="22"/>
      <c r="OW4" s="22"/>
      <c r="OX4" s="22"/>
      <c r="OY4" s="22"/>
      <c r="OZ4" s="22"/>
      <c r="PA4" s="22"/>
      <c r="PB4" s="22"/>
      <c r="PC4" s="22"/>
      <c r="PD4" s="22"/>
      <c r="PE4" s="22"/>
      <c r="PF4" s="22"/>
      <c r="PG4" s="22"/>
      <c r="PH4" s="22"/>
      <c r="PI4" s="22"/>
      <c r="PJ4" s="22"/>
      <c r="PK4" s="22"/>
      <c r="PL4" s="22"/>
      <c r="PM4" s="22"/>
      <c r="PN4" s="22"/>
      <c r="PO4" s="22"/>
      <c r="PP4" s="22"/>
      <c r="PQ4" s="22"/>
      <c r="PR4" s="22"/>
      <c r="PS4" s="22"/>
      <c r="PT4" s="22"/>
      <c r="PU4" s="22"/>
      <c r="PV4" s="22"/>
      <c r="PW4" s="22"/>
      <c r="PX4" s="22"/>
      <c r="PY4" s="22"/>
      <c r="PZ4" s="22"/>
      <c r="QA4" s="22"/>
      <c r="QB4" s="22"/>
      <c r="QC4" s="22"/>
      <c r="QD4" s="22"/>
      <c r="QE4" s="22"/>
      <c r="QF4" s="22"/>
      <c r="QG4" s="22"/>
      <c r="QH4" s="22"/>
      <c r="QI4" s="22"/>
      <c r="QJ4" s="22"/>
      <c r="QK4" s="22"/>
      <c r="QL4" s="22"/>
      <c r="QM4" s="22"/>
      <c r="QN4" s="22"/>
      <c r="QO4" s="22"/>
      <c r="QP4" s="22"/>
      <c r="QQ4" s="22"/>
      <c r="QR4" s="22"/>
      <c r="QS4" s="22"/>
      <c r="QT4" s="22"/>
      <c r="QU4" s="22"/>
      <c r="QV4" s="22"/>
      <c r="QW4" s="22"/>
      <c r="QX4" s="22"/>
      <c r="QY4" s="22"/>
      <c r="QZ4" s="22"/>
      <c r="RA4" s="22"/>
      <c r="RB4" s="22"/>
      <c r="RC4" s="22"/>
      <c r="RD4" s="22"/>
      <c r="RE4" s="22"/>
      <c r="RF4" s="22"/>
      <c r="RG4" s="22"/>
      <c r="RH4" s="22"/>
      <c r="RI4" s="22"/>
      <c r="RJ4" s="22"/>
      <c r="RK4" s="22"/>
      <c r="RL4" s="22"/>
      <c r="RM4" s="22"/>
      <c r="RN4" s="22"/>
      <c r="RO4" s="22"/>
      <c r="RP4" s="22"/>
      <c r="RQ4" s="22"/>
      <c r="RR4" s="22"/>
      <c r="RS4" s="22"/>
      <c r="RT4" s="22"/>
      <c r="RU4" s="22"/>
      <c r="RV4" s="22"/>
      <c r="RW4" s="22"/>
      <c r="RX4" s="22"/>
      <c r="RY4" s="22"/>
      <c r="RZ4" s="22"/>
      <c r="SA4" s="22"/>
      <c r="SB4" s="22"/>
      <c r="SC4" s="22"/>
      <c r="SD4" s="22"/>
      <c r="SE4" s="22"/>
      <c r="SF4" s="22"/>
      <c r="SG4" s="22"/>
      <c r="SH4" s="22"/>
      <c r="SI4" s="22"/>
      <c r="SJ4" s="22"/>
      <c r="SK4" s="22"/>
      <c r="SL4" s="22"/>
      <c r="SM4" s="22"/>
      <c r="SN4" s="22"/>
      <c r="SO4" s="22"/>
      <c r="SP4" s="22"/>
      <c r="SQ4" s="22"/>
      <c r="SR4" s="22"/>
      <c r="SS4" s="22"/>
      <c r="ST4" s="22"/>
      <c r="SU4" s="22"/>
      <c r="SV4" s="22"/>
      <c r="SW4" s="22"/>
      <c r="SX4" s="22"/>
      <c r="SY4" s="22"/>
      <c r="SZ4" s="22"/>
      <c r="TA4" s="22"/>
      <c r="TB4" s="22"/>
      <c r="TC4" s="22"/>
      <c r="TD4" s="22"/>
      <c r="TE4" s="22"/>
      <c r="TF4" s="22"/>
      <c r="TG4" s="22"/>
      <c r="TH4" s="22"/>
      <c r="TI4" s="22"/>
      <c r="TJ4" s="22"/>
      <c r="TK4" s="22"/>
      <c r="TL4" s="22"/>
      <c r="TM4" s="22"/>
      <c r="TN4" s="22"/>
      <c r="TO4" s="22"/>
      <c r="TP4" s="22"/>
      <c r="TQ4" s="22"/>
      <c r="TR4" s="22"/>
      <c r="TS4" s="22"/>
      <c r="TT4" s="22"/>
      <c r="TU4" s="22"/>
      <c r="TV4" s="22"/>
      <c r="TW4" s="22"/>
      <c r="TX4" s="22"/>
      <c r="TY4" s="22"/>
      <c r="TZ4" s="22"/>
      <c r="UA4" s="22"/>
      <c r="UB4" s="22"/>
      <c r="UC4" s="22"/>
      <c r="UD4" s="22"/>
      <c r="UE4" s="22"/>
      <c r="UF4" s="22"/>
      <c r="UG4" s="22"/>
      <c r="UH4" s="22"/>
      <c r="UI4" s="22"/>
      <c r="UJ4" s="22"/>
      <c r="UK4" s="22"/>
      <c r="UL4" s="22"/>
      <c r="UM4" s="22"/>
      <c r="UN4" s="22"/>
      <c r="UO4" s="22"/>
      <c r="UP4" s="22"/>
      <c r="UQ4" s="22"/>
      <c r="UR4" s="22"/>
      <c r="US4" s="22"/>
      <c r="UT4" s="22"/>
      <c r="UU4" s="22"/>
      <c r="UV4" s="22"/>
      <c r="UW4" s="22"/>
      <c r="UX4" s="22"/>
      <c r="UY4" s="22"/>
      <c r="UZ4" s="22"/>
      <c r="VA4" s="22"/>
      <c r="VB4" s="22"/>
      <c r="VC4" s="22"/>
      <c r="VD4" s="22"/>
      <c r="VE4" s="22"/>
      <c r="VF4" s="22"/>
      <c r="VG4" s="22"/>
      <c r="VH4" s="22"/>
      <c r="VI4" s="22"/>
      <c r="VJ4" s="22"/>
      <c r="VK4" s="22"/>
      <c r="VL4" s="22"/>
      <c r="VM4" s="22"/>
      <c r="VN4" s="22"/>
      <c r="VO4" s="22"/>
      <c r="VP4" s="22"/>
      <c r="VQ4" s="22"/>
      <c r="VR4" s="22"/>
      <c r="VS4" s="22"/>
      <c r="VT4" s="22"/>
      <c r="VU4" s="22"/>
      <c r="VV4" s="22"/>
      <c r="VW4" s="22"/>
      <c r="VX4" s="22"/>
      <c r="VY4" s="22"/>
      <c r="VZ4" s="22"/>
      <c r="WA4" s="22"/>
      <c r="WB4" s="22"/>
      <c r="WC4" s="22"/>
      <c r="WD4" s="22"/>
      <c r="WE4" s="22"/>
      <c r="WF4" s="22"/>
      <c r="WG4" s="22"/>
      <c r="WH4" s="22"/>
      <c r="WI4" s="22"/>
      <c r="WJ4" s="22"/>
      <c r="WK4" s="22"/>
      <c r="WL4" s="22"/>
      <c r="WM4" s="22"/>
      <c r="WN4" s="22"/>
      <c r="WO4" s="22"/>
      <c r="WP4" s="22"/>
      <c r="WQ4" s="22"/>
      <c r="WR4" s="22"/>
      <c r="WS4" s="22"/>
      <c r="WT4" s="22"/>
      <c r="WU4" s="22"/>
      <c r="WV4" s="22"/>
      <c r="WW4" s="22"/>
      <c r="WX4" s="22"/>
      <c r="WY4" s="22"/>
      <c r="WZ4" s="22"/>
      <c r="XA4" s="22"/>
      <c r="XB4" s="22"/>
      <c r="XC4" s="22"/>
      <c r="XD4" s="22"/>
      <c r="XE4" s="22"/>
      <c r="XF4" s="22"/>
      <c r="XG4" s="22"/>
      <c r="XH4" s="22"/>
      <c r="XI4" s="22"/>
      <c r="XJ4" s="22"/>
      <c r="XK4" s="22"/>
      <c r="XL4" s="22"/>
      <c r="XM4" s="22"/>
      <c r="XN4" s="22"/>
      <c r="XO4" s="22"/>
      <c r="XP4" s="22"/>
      <c r="XQ4" s="22"/>
      <c r="XR4" s="22"/>
      <c r="XS4" s="22"/>
      <c r="XT4" s="22"/>
      <c r="XU4" s="22"/>
      <c r="XV4" s="22"/>
      <c r="XW4" s="22"/>
      <c r="XX4" s="22"/>
      <c r="XY4" s="22"/>
      <c r="XZ4" s="22"/>
      <c r="YA4" s="22"/>
      <c r="YB4" s="22"/>
      <c r="YC4" s="22"/>
      <c r="YD4" s="22"/>
      <c r="YE4" s="22"/>
      <c r="YF4" s="22"/>
      <c r="YG4" s="22"/>
      <c r="YH4" s="22"/>
      <c r="YI4" s="22"/>
      <c r="YJ4" s="22"/>
      <c r="YK4" s="22"/>
      <c r="YL4" s="22"/>
      <c r="YM4" s="22"/>
      <c r="YN4" s="22"/>
      <c r="YO4" s="22"/>
      <c r="YP4" s="22"/>
      <c r="YQ4" s="22"/>
      <c r="YR4" s="22"/>
      <c r="YS4" s="22"/>
      <c r="YT4" s="22"/>
      <c r="YU4" s="22"/>
      <c r="YV4" s="22"/>
      <c r="YW4" s="22"/>
      <c r="YX4" s="22"/>
      <c r="YY4" s="22"/>
      <c r="YZ4" s="22"/>
      <c r="ZA4" s="22"/>
      <c r="ZB4" s="22"/>
      <c r="ZC4" s="22"/>
      <c r="ZD4" s="22"/>
      <c r="ZE4" s="22"/>
      <c r="ZF4" s="22"/>
      <c r="ZG4" s="22"/>
      <c r="ZH4" s="22"/>
      <c r="ZI4" s="22"/>
      <c r="ZJ4" s="22"/>
      <c r="ZK4" s="22"/>
      <c r="ZL4" s="22"/>
      <c r="ZM4" s="22"/>
      <c r="ZN4" s="22"/>
      <c r="ZO4" s="22"/>
      <c r="ZP4" s="22"/>
      <c r="ZQ4" s="22"/>
      <c r="ZR4" s="22"/>
      <c r="ZS4" s="22"/>
      <c r="ZT4" s="22"/>
      <c r="ZU4" s="22"/>
      <c r="ZV4" s="22"/>
      <c r="ZW4" s="22"/>
      <c r="ZX4" s="22"/>
      <c r="ZY4" s="22"/>
      <c r="ZZ4" s="22"/>
      <c r="AAA4" s="22"/>
      <c r="AAB4" s="22"/>
      <c r="AAC4" s="22"/>
      <c r="AAD4" s="22"/>
      <c r="AAE4" s="22"/>
      <c r="AAF4" s="22"/>
      <c r="AAG4" s="22"/>
      <c r="AAH4" s="22"/>
      <c r="AAI4" s="22"/>
      <c r="AAJ4" s="22"/>
      <c r="AAK4" s="22"/>
      <c r="AAL4" s="22"/>
      <c r="AAM4" s="22"/>
      <c r="AAN4" s="22"/>
      <c r="AAO4" s="22"/>
      <c r="AAP4" s="22"/>
      <c r="AAQ4" s="22"/>
      <c r="AAR4" s="22"/>
      <c r="AAS4" s="22"/>
      <c r="AAT4" s="22"/>
      <c r="AAU4" s="22"/>
      <c r="AAV4" s="22"/>
      <c r="AAW4" s="22"/>
      <c r="AAX4" s="22"/>
      <c r="AAY4" s="22"/>
      <c r="AAZ4" s="22"/>
      <c r="ABA4" s="22"/>
      <c r="ABB4" s="22"/>
      <c r="ABC4" s="22"/>
      <c r="ABD4" s="22"/>
      <c r="ABE4" s="22"/>
      <c r="ABF4" s="22"/>
      <c r="ABG4" s="22"/>
      <c r="ABH4" s="22"/>
      <c r="ABI4" s="22"/>
      <c r="ABJ4" s="22"/>
      <c r="ABK4" s="22"/>
      <c r="ABL4" s="22"/>
      <c r="ABM4" s="22"/>
      <c r="ABN4" s="22"/>
      <c r="ABO4" s="22"/>
      <c r="ABP4" s="22"/>
      <c r="ABQ4" s="22"/>
      <c r="ABR4" s="22"/>
      <c r="ABS4" s="22"/>
      <c r="ABT4" s="22"/>
      <c r="ABU4" s="22"/>
      <c r="ABV4" s="22"/>
      <c r="ABW4" s="22"/>
      <c r="ABX4" s="22"/>
      <c r="ABY4" s="22"/>
      <c r="ABZ4" s="22"/>
      <c r="ACA4" s="22"/>
      <c r="ACB4" s="22"/>
      <c r="ACC4" s="22"/>
      <c r="ACD4" s="22"/>
      <c r="ACE4" s="22"/>
      <c r="ACF4" s="22"/>
      <c r="ACG4" s="22"/>
      <c r="ACH4" s="22"/>
      <c r="ACI4" s="22"/>
      <c r="ACJ4" s="22"/>
      <c r="ACK4" s="22"/>
      <c r="ACL4" s="22"/>
      <c r="ACM4" s="22"/>
      <c r="ACN4" s="22"/>
      <c r="ACO4" s="22"/>
      <c r="ACP4" s="22"/>
      <c r="ACQ4" s="22"/>
      <c r="ACR4" s="22"/>
      <c r="ACS4" s="22"/>
      <c r="ACT4" s="22"/>
      <c r="ACU4" s="22"/>
      <c r="ACV4" s="22"/>
      <c r="ACW4" s="22"/>
      <c r="ACX4" s="22"/>
      <c r="ACY4" s="22"/>
      <c r="ACZ4" s="22"/>
      <c r="ADA4" s="22"/>
      <c r="ADB4" s="22"/>
      <c r="ADC4" s="22"/>
      <c r="ADD4" s="22"/>
      <c r="ADE4" s="22"/>
      <c r="ADF4" s="22"/>
      <c r="ADG4" s="22"/>
      <c r="ADH4" s="22"/>
      <c r="ADI4" s="22"/>
      <c r="ADJ4" s="22"/>
      <c r="ADK4" s="22"/>
      <c r="ADL4" s="22"/>
      <c r="ADM4" s="22"/>
      <c r="ADN4" s="22"/>
      <c r="ADO4" s="22"/>
      <c r="ADP4" s="22"/>
      <c r="ADQ4" s="22"/>
      <c r="ADR4" s="22"/>
      <c r="ADS4" s="22"/>
      <c r="ADT4" s="22"/>
      <c r="ADU4" s="22"/>
      <c r="ADV4" s="22"/>
      <c r="ADW4" s="22"/>
      <c r="ADX4" s="22"/>
      <c r="ADY4" s="22"/>
      <c r="ADZ4" s="22"/>
      <c r="AEA4" s="22"/>
      <c r="AEB4" s="22"/>
      <c r="AEC4" s="22"/>
      <c r="AED4" s="22"/>
      <c r="AEE4" s="22"/>
      <c r="AEF4" s="22"/>
      <c r="AEG4" s="22"/>
      <c r="AEH4" s="22"/>
      <c r="AEI4" s="22"/>
      <c r="AEJ4" s="22"/>
      <c r="AEK4" s="22"/>
      <c r="AEL4" s="22"/>
      <c r="AEM4" s="22"/>
      <c r="AEN4" s="22"/>
      <c r="AEO4" s="22"/>
      <c r="AEP4" s="22"/>
      <c r="AEQ4" s="22"/>
      <c r="AER4" s="22"/>
      <c r="AES4" s="22"/>
      <c r="AET4" s="22"/>
      <c r="AEU4" s="22"/>
      <c r="AEV4" s="22"/>
      <c r="AEW4" s="22"/>
      <c r="AEX4" s="22"/>
      <c r="AEY4" s="22"/>
      <c r="AEZ4" s="22"/>
      <c r="AFA4" s="22"/>
      <c r="AFB4" s="22"/>
      <c r="AFC4" s="22"/>
      <c r="AFD4" s="22"/>
      <c r="AFE4" s="22"/>
      <c r="AFF4" s="22"/>
      <c r="AFG4" s="22"/>
      <c r="AFH4" s="22"/>
      <c r="AFI4" s="22"/>
      <c r="AFJ4" s="22"/>
      <c r="AFK4" s="22"/>
      <c r="AFL4" s="22"/>
      <c r="AFM4" s="22"/>
      <c r="AFN4" s="22"/>
      <c r="AFO4" s="22"/>
      <c r="AFP4" s="22"/>
      <c r="AFQ4" s="22"/>
      <c r="AFR4" s="22"/>
      <c r="AFS4" s="22"/>
      <c r="AFT4" s="22"/>
      <c r="AFU4" s="22"/>
      <c r="AFV4" s="22"/>
      <c r="AFW4" s="22"/>
      <c r="AFX4" s="22"/>
      <c r="AFY4" s="22"/>
      <c r="AFZ4" s="22"/>
      <c r="AGA4" s="22"/>
      <c r="AGB4" s="22"/>
      <c r="AGC4" s="22"/>
      <c r="AGD4" s="22"/>
      <c r="AGE4" s="22"/>
      <c r="AGF4" s="22"/>
      <c r="AGG4" s="22"/>
      <c r="AGH4" s="22"/>
      <c r="AGI4" s="22"/>
      <c r="AGJ4" s="22"/>
      <c r="AGK4" s="22"/>
      <c r="AGL4" s="22"/>
      <c r="AGM4" s="22"/>
      <c r="AGN4" s="22"/>
      <c r="AGO4" s="22"/>
      <c r="AGP4" s="22"/>
      <c r="AGQ4" s="22"/>
      <c r="AGR4" s="22"/>
      <c r="AGS4" s="22"/>
      <c r="AGT4" s="22"/>
      <c r="AGU4" s="22"/>
      <c r="AGV4" s="22"/>
      <c r="AGW4" s="22"/>
      <c r="AGX4" s="22"/>
      <c r="AGY4" s="22"/>
      <c r="AGZ4" s="22"/>
      <c r="AHA4" s="22"/>
      <c r="AHB4" s="22"/>
      <c r="AHC4" s="22"/>
      <c r="AHD4" s="22"/>
      <c r="AHE4" s="22"/>
      <c r="AHF4" s="22"/>
      <c r="AHG4" s="22"/>
      <c r="AHH4" s="22"/>
      <c r="AHI4" s="22"/>
      <c r="AHJ4" s="22"/>
      <c r="AHK4" s="22"/>
      <c r="AHL4" s="22"/>
      <c r="AHM4" s="22"/>
      <c r="AHN4" s="22"/>
      <c r="AHO4" s="22"/>
      <c r="AHP4" s="22"/>
      <c r="AHQ4" s="22"/>
      <c r="AHR4" s="22"/>
      <c r="AHS4" s="22"/>
      <c r="AHT4" s="22"/>
      <c r="AHU4" s="22"/>
      <c r="AHV4" s="22"/>
      <c r="AHW4" s="22"/>
      <c r="AHX4" s="22"/>
      <c r="AHY4" s="22"/>
      <c r="AHZ4" s="22"/>
      <c r="AIA4" s="22"/>
      <c r="AIB4" s="22"/>
      <c r="AIC4" s="22"/>
      <c r="AID4" s="22"/>
      <c r="AIE4" s="22"/>
      <c r="AIF4" s="22"/>
      <c r="AIG4" s="22"/>
      <c r="AIH4" s="22"/>
      <c r="AII4" s="22"/>
      <c r="AIJ4" s="22"/>
      <c r="AIK4" s="22"/>
      <c r="AIL4" s="22"/>
      <c r="AIM4" s="22"/>
      <c r="AIN4" s="22"/>
      <c r="AIO4" s="22"/>
      <c r="AIP4" s="22"/>
      <c r="AIQ4" s="22"/>
      <c r="AIR4" s="22"/>
      <c r="AIS4" s="22"/>
      <c r="AIT4" s="22"/>
      <c r="AIU4" s="22"/>
      <c r="AIV4" s="22"/>
      <c r="AIW4" s="22"/>
      <c r="AIX4" s="22"/>
      <c r="AIY4" s="22"/>
      <c r="AIZ4" s="22"/>
      <c r="AJA4" s="22"/>
      <c r="AJB4" s="22"/>
      <c r="AJC4" s="22"/>
      <c r="AJD4" s="22"/>
      <c r="AJE4" s="22"/>
      <c r="AJF4" s="22"/>
      <c r="AJG4" s="22"/>
      <c r="AJH4" s="22"/>
      <c r="AJI4" s="22"/>
      <c r="AJJ4" s="22"/>
      <c r="AJK4" s="22"/>
      <c r="AJL4" s="22"/>
      <c r="AJM4" s="22"/>
      <c r="AJN4" s="22"/>
      <c r="AJO4" s="22"/>
      <c r="AJP4" s="22"/>
      <c r="AJQ4" s="22"/>
      <c r="AJR4" s="22"/>
      <c r="AJS4" s="22"/>
      <c r="AJT4" s="22"/>
      <c r="AJU4" s="22"/>
      <c r="AJV4" s="22"/>
      <c r="AJW4" s="22"/>
      <c r="AJX4" s="22"/>
      <c r="AJY4" s="22"/>
      <c r="AJZ4" s="22"/>
      <c r="AKA4" s="22"/>
      <c r="AKB4" s="22"/>
      <c r="AKC4" s="22"/>
      <c r="AKD4" s="22"/>
      <c r="AKE4" s="22"/>
      <c r="AKF4" s="22"/>
      <c r="AKG4" s="22"/>
      <c r="AKH4" s="22"/>
      <c r="AKI4" s="22"/>
      <c r="AKJ4" s="22"/>
      <c r="AKK4" s="22"/>
      <c r="AKL4" s="22"/>
      <c r="AKM4" s="22"/>
      <c r="AKN4" s="22"/>
      <c r="AKO4" s="22"/>
      <c r="AKP4" s="22"/>
      <c r="AKQ4" s="22"/>
      <c r="AKR4" s="22"/>
      <c r="AKS4" s="22"/>
      <c r="AKT4" s="22"/>
      <c r="AKU4" s="22"/>
      <c r="AKV4" s="22"/>
      <c r="AKW4" s="22"/>
      <c r="AKX4" s="22"/>
      <c r="AKY4" s="22"/>
      <c r="AKZ4" s="22"/>
      <c r="ALA4" s="22"/>
      <c r="ALB4" s="22"/>
      <c r="ALC4" s="22"/>
      <c r="ALD4" s="22"/>
      <c r="ALE4" s="22"/>
      <c r="ALF4" s="22"/>
      <c r="ALG4" s="22"/>
      <c r="ALH4" s="22"/>
      <c r="ALI4" s="22"/>
      <c r="ALJ4" s="22"/>
      <c r="ALK4" s="22"/>
      <c r="ALL4" s="22"/>
      <c r="ALM4" s="22"/>
      <c r="ALN4" s="22"/>
      <c r="ALO4" s="22"/>
      <c r="ALP4" s="22"/>
      <c r="ALQ4" s="22"/>
      <c r="ALR4" s="22"/>
      <c r="ALS4" s="22"/>
      <c r="ALT4" s="22"/>
      <c r="ALU4" s="22"/>
      <c r="ALV4" s="22"/>
      <c r="ALW4" s="22"/>
      <c r="ALX4" s="22"/>
      <c r="ALY4" s="22"/>
      <c r="ALZ4" s="22"/>
      <c r="AMA4" s="22"/>
      <c r="AMB4" s="22"/>
      <c r="AMC4" s="22"/>
      <c r="AMD4" s="22"/>
      <c r="AME4" s="22"/>
      <c r="AMF4" s="22"/>
      <c r="AMG4" s="22"/>
      <c r="AMH4" s="22"/>
    </row>
    <row r="5" spans="1:1022" ht="30" customHeight="1" x14ac:dyDescent="0.25">
      <c r="A5" s="23" t="s">
        <v>42</v>
      </c>
      <c r="B5" s="24" t="s">
        <v>32</v>
      </c>
      <c r="C5" s="25" t="s">
        <v>47</v>
      </c>
      <c r="D5" s="26">
        <v>1</v>
      </c>
      <c r="E5" s="26">
        <v>720</v>
      </c>
      <c r="F5" s="26"/>
      <c r="G5" s="26"/>
      <c r="H5" s="26"/>
      <c r="I5" s="26"/>
      <c r="J5" s="27">
        <v>6.29</v>
      </c>
      <c r="K5" s="27">
        <f t="shared" ref="K5" si="17">J5+17/N5</f>
        <v>6.510458636164711</v>
      </c>
      <c r="L5" s="27">
        <f t="shared" si="9"/>
        <v>4528.8</v>
      </c>
      <c r="M5" s="28">
        <f t="shared" ref="M5" si="18">D5*E5*0.97</f>
        <v>698.4</v>
      </c>
      <c r="N5" s="24">
        <f t="shared" si="10"/>
        <v>77.111971187641899</v>
      </c>
      <c r="O5" s="29">
        <f t="shared" ref="O5" si="19">K5*N5*1.0425</f>
        <v>523.37075646800395</v>
      </c>
      <c r="P5" s="29">
        <f t="shared" si="2"/>
        <v>349256.70441005158</v>
      </c>
      <c r="Q5" s="29">
        <f t="shared" si="3"/>
        <v>101203.30372205049</v>
      </c>
      <c r="R5" s="29">
        <f t="shared" si="4"/>
        <v>51530.694005708836</v>
      </c>
      <c r="S5" s="29">
        <f t="shared" si="5"/>
        <v>1569.9333967649854</v>
      </c>
      <c r="T5" s="29">
        <f t="shared" ref="T5" si="20">P5+Q5+R5+S5</f>
        <v>503560.63553457591</v>
      </c>
      <c r="U5" s="30">
        <f t="shared" si="13"/>
        <v>786.57645793451763</v>
      </c>
      <c r="V5" s="31">
        <v>1020</v>
      </c>
      <c r="W5" s="32">
        <f t="shared" si="16"/>
        <v>0.29675887157674741</v>
      </c>
      <c r="X5" s="33">
        <f t="shared" si="7"/>
        <v>734400</v>
      </c>
      <c r="Y5" s="33">
        <f t="shared" si="8"/>
        <v>566335.04971285269</v>
      </c>
      <c r="Z5" s="21"/>
      <c r="AA5" s="21"/>
      <c r="AB5" s="21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  <c r="IZ5" s="22"/>
      <c r="JA5" s="22"/>
      <c r="JB5" s="22"/>
      <c r="JC5" s="22"/>
      <c r="JD5" s="22"/>
      <c r="JE5" s="22"/>
      <c r="JF5" s="22"/>
      <c r="JG5" s="22"/>
      <c r="JH5" s="22"/>
      <c r="JI5" s="22"/>
      <c r="JJ5" s="22"/>
      <c r="JK5" s="22"/>
      <c r="JL5" s="22"/>
      <c r="JM5" s="22"/>
      <c r="JN5" s="22"/>
      <c r="JO5" s="22"/>
      <c r="JP5" s="22"/>
      <c r="JQ5" s="22"/>
      <c r="JR5" s="22"/>
      <c r="JS5" s="22"/>
      <c r="JT5" s="22"/>
      <c r="JU5" s="22"/>
      <c r="JV5" s="22"/>
      <c r="JW5" s="22"/>
      <c r="JX5" s="22"/>
      <c r="JY5" s="22"/>
      <c r="JZ5" s="22"/>
      <c r="KA5" s="22"/>
      <c r="KB5" s="22"/>
      <c r="KC5" s="22"/>
      <c r="KD5" s="22"/>
      <c r="KE5" s="22"/>
      <c r="KF5" s="22"/>
      <c r="KG5" s="22"/>
      <c r="KH5" s="22"/>
      <c r="KI5" s="22"/>
      <c r="KJ5" s="22"/>
      <c r="KK5" s="22"/>
      <c r="KL5" s="22"/>
      <c r="KM5" s="22"/>
      <c r="KN5" s="22"/>
      <c r="KO5" s="22"/>
      <c r="KP5" s="22"/>
      <c r="KQ5" s="22"/>
      <c r="KR5" s="22"/>
      <c r="KS5" s="22"/>
      <c r="KT5" s="22"/>
      <c r="KU5" s="22"/>
      <c r="KV5" s="22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  <c r="LH5" s="22"/>
      <c r="LI5" s="22"/>
      <c r="LJ5" s="22"/>
      <c r="LK5" s="22"/>
      <c r="LL5" s="22"/>
      <c r="LM5" s="22"/>
      <c r="LN5" s="22"/>
      <c r="LO5" s="22"/>
      <c r="LP5" s="22"/>
      <c r="LQ5" s="22"/>
      <c r="LR5" s="22"/>
      <c r="LS5" s="22"/>
      <c r="LT5" s="22"/>
      <c r="LU5" s="22"/>
      <c r="LV5" s="22"/>
      <c r="LW5" s="22"/>
      <c r="LX5" s="22"/>
      <c r="LY5" s="22"/>
      <c r="LZ5" s="22"/>
      <c r="MA5" s="22"/>
      <c r="MB5" s="22"/>
      <c r="MC5" s="22"/>
      <c r="MD5" s="22"/>
      <c r="ME5" s="22"/>
      <c r="MF5" s="22"/>
      <c r="MG5" s="22"/>
      <c r="MH5" s="22"/>
      <c r="MI5" s="22"/>
      <c r="MJ5" s="22"/>
      <c r="MK5" s="22"/>
      <c r="ML5" s="22"/>
      <c r="MM5" s="22"/>
      <c r="MN5" s="22"/>
      <c r="MO5" s="22"/>
      <c r="MP5" s="22"/>
      <c r="MQ5" s="22"/>
      <c r="MR5" s="22"/>
      <c r="MS5" s="22"/>
      <c r="MT5" s="22"/>
      <c r="MU5" s="22"/>
      <c r="MV5" s="22"/>
      <c r="MW5" s="22"/>
      <c r="MX5" s="22"/>
      <c r="MY5" s="22"/>
      <c r="MZ5" s="22"/>
      <c r="NA5" s="22"/>
      <c r="NB5" s="22"/>
      <c r="NC5" s="22"/>
      <c r="ND5" s="22"/>
      <c r="NE5" s="22"/>
      <c r="NF5" s="22"/>
      <c r="NG5" s="22"/>
      <c r="NH5" s="22"/>
      <c r="NI5" s="22"/>
      <c r="NJ5" s="22"/>
      <c r="NK5" s="22"/>
      <c r="NL5" s="22"/>
      <c r="NM5" s="22"/>
      <c r="NN5" s="22"/>
      <c r="NO5" s="22"/>
      <c r="NP5" s="22"/>
      <c r="NQ5" s="22"/>
      <c r="NR5" s="22"/>
      <c r="NS5" s="22"/>
      <c r="NT5" s="22"/>
      <c r="NU5" s="22"/>
      <c r="NV5" s="22"/>
      <c r="NW5" s="22"/>
      <c r="NX5" s="22"/>
      <c r="NY5" s="22"/>
      <c r="NZ5" s="22"/>
      <c r="OA5" s="22"/>
      <c r="OB5" s="22"/>
      <c r="OC5" s="22"/>
      <c r="OD5" s="22"/>
      <c r="OE5" s="22"/>
      <c r="OF5" s="22"/>
      <c r="OG5" s="22"/>
      <c r="OH5" s="22"/>
      <c r="OI5" s="22"/>
      <c r="OJ5" s="22"/>
      <c r="OK5" s="22"/>
      <c r="OL5" s="22"/>
      <c r="OM5" s="22"/>
      <c r="ON5" s="22"/>
      <c r="OO5" s="22"/>
      <c r="OP5" s="22"/>
      <c r="OQ5" s="22"/>
      <c r="OR5" s="22"/>
      <c r="OS5" s="22"/>
      <c r="OT5" s="22"/>
      <c r="OU5" s="22"/>
      <c r="OV5" s="22"/>
      <c r="OW5" s="22"/>
      <c r="OX5" s="22"/>
      <c r="OY5" s="22"/>
      <c r="OZ5" s="22"/>
      <c r="PA5" s="22"/>
      <c r="PB5" s="22"/>
      <c r="PC5" s="22"/>
      <c r="PD5" s="22"/>
      <c r="PE5" s="22"/>
      <c r="PF5" s="22"/>
      <c r="PG5" s="22"/>
      <c r="PH5" s="22"/>
      <c r="PI5" s="22"/>
      <c r="PJ5" s="22"/>
      <c r="PK5" s="22"/>
      <c r="PL5" s="22"/>
      <c r="PM5" s="22"/>
      <c r="PN5" s="22"/>
      <c r="PO5" s="22"/>
      <c r="PP5" s="22"/>
      <c r="PQ5" s="22"/>
      <c r="PR5" s="22"/>
      <c r="PS5" s="22"/>
      <c r="PT5" s="22"/>
      <c r="PU5" s="22"/>
      <c r="PV5" s="22"/>
      <c r="PW5" s="22"/>
      <c r="PX5" s="22"/>
      <c r="PY5" s="22"/>
      <c r="PZ5" s="22"/>
      <c r="QA5" s="22"/>
      <c r="QB5" s="22"/>
      <c r="QC5" s="22"/>
      <c r="QD5" s="22"/>
      <c r="QE5" s="22"/>
      <c r="QF5" s="22"/>
      <c r="QG5" s="22"/>
      <c r="QH5" s="22"/>
      <c r="QI5" s="22"/>
      <c r="QJ5" s="22"/>
      <c r="QK5" s="22"/>
      <c r="QL5" s="22"/>
      <c r="QM5" s="22"/>
      <c r="QN5" s="22"/>
      <c r="QO5" s="22"/>
      <c r="QP5" s="22"/>
      <c r="QQ5" s="22"/>
      <c r="QR5" s="22"/>
      <c r="QS5" s="22"/>
      <c r="QT5" s="22"/>
      <c r="QU5" s="22"/>
      <c r="QV5" s="22"/>
      <c r="QW5" s="22"/>
      <c r="QX5" s="22"/>
      <c r="QY5" s="22"/>
      <c r="QZ5" s="22"/>
      <c r="RA5" s="22"/>
      <c r="RB5" s="22"/>
      <c r="RC5" s="22"/>
      <c r="RD5" s="22"/>
      <c r="RE5" s="22"/>
      <c r="RF5" s="22"/>
      <c r="RG5" s="22"/>
      <c r="RH5" s="22"/>
      <c r="RI5" s="22"/>
      <c r="RJ5" s="22"/>
      <c r="RK5" s="22"/>
      <c r="RL5" s="22"/>
      <c r="RM5" s="22"/>
      <c r="RN5" s="22"/>
      <c r="RO5" s="22"/>
      <c r="RP5" s="22"/>
      <c r="RQ5" s="22"/>
      <c r="RR5" s="22"/>
      <c r="RS5" s="22"/>
      <c r="RT5" s="22"/>
      <c r="RU5" s="22"/>
      <c r="RV5" s="22"/>
      <c r="RW5" s="22"/>
      <c r="RX5" s="22"/>
      <c r="RY5" s="22"/>
      <c r="RZ5" s="22"/>
      <c r="SA5" s="22"/>
      <c r="SB5" s="22"/>
      <c r="SC5" s="22"/>
      <c r="SD5" s="22"/>
      <c r="SE5" s="22"/>
      <c r="SF5" s="22"/>
      <c r="SG5" s="22"/>
      <c r="SH5" s="22"/>
      <c r="SI5" s="22"/>
      <c r="SJ5" s="22"/>
      <c r="SK5" s="22"/>
      <c r="SL5" s="22"/>
      <c r="SM5" s="22"/>
      <c r="SN5" s="22"/>
      <c r="SO5" s="22"/>
      <c r="SP5" s="22"/>
      <c r="SQ5" s="22"/>
      <c r="SR5" s="22"/>
      <c r="SS5" s="22"/>
      <c r="ST5" s="22"/>
      <c r="SU5" s="22"/>
      <c r="SV5" s="22"/>
      <c r="SW5" s="22"/>
      <c r="SX5" s="22"/>
      <c r="SY5" s="22"/>
      <c r="SZ5" s="22"/>
      <c r="TA5" s="22"/>
      <c r="TB5" s="22"/>
      <c r="TC5" s="22"/>
      <c r="TD5" s="22"/>
      <c r="TE5" s="22"/>
      <c r="TF5" s="22"/>
      <c r="TG5" s="22"/>
      <c r="TH5" s="22"/>
      <c r="TI5" s="22"/>
      <c r="TJ5" s="22"/>
      <c r="TK5" s="22"/>
      <c r="TL5" s="22"/>
      <c r="TM5" s="22"/>
      <c r="TN5" s="22"/>
      <c r="TO5" s="22"/>
      <c r="TP5" s="22"/>
      <c r="TQ5" s="22"/>
      <c r="TR5" s="22"/>
      <c r="TS5" s="22"/>
      <c r="TT5" s="22"/>
      <c r="TU5" s="22"/>
      <c r="TV5" s="22"/>
      <c r="TW5" s="22"/>
      <c r="TX5" s="22"/>
      <c r="TY5" s="22"/>
      <c r="TZ5" s="22"/>
      <c r="UA5" s="22"/>
      <c r="UB5" s="22"/>
      <c r="UC5" s="22"/>
      <c r="UD5" s="22"/>
      <c r="UE5" s="22"/>
      <c r="UF5" s="22"/>
      <c r="UG5" s="22"/>
      <c r="UH5" s="22"/>
      <c r="UI5" s="22"/>
      <c r="UJ5" s="22"/>
      <c r="UK5" s="22"/>
      <c r="UL5" s="22"/>
      <c r="UM5" s="22"/>
      <c r="UN5" s="22"/>
      <c r="UO5" s="22"/>
      <c r="UP5" s="22"/>
      <c r="UQ5" s="22"/>
      <c r="UR5" s="22"/>
      <c r="US5" s="22"/>
      <c r="UT5" s="22"/>
      <c r="UU5" s="22"/>
      <c r="UV5" s="22"/>
      <c r="UW5" s="22"/>
      <c r="UX5" s="22"/>
      <c r="UY5" s="22"/>
      <c r="UZ5" s="22"/>
      <c r="VA5" s="22"/>
      <c r="VB5" s="22"/>
      <c r="VC5" s="22"/>
      <c r="VD5" s="22"/>
      <c r="VE5" s="22"/>
      <c r="VF5" s="22"/>
      <c r="VG5" s="22"/>
      <c r="VH5" s="22"/>
      <c r="VI5" s="22"/>
      <c r="VJ5" s="22"/>
      <c r="VK5" s="22"/>
      <c r="VL5" s="22"/>
      <c r="VM5" s="22"/>
      <c r="VN5" s="22"/>
      <c r="VO5" s="22"/>
      <c r="VP5" s="22"/>
      <c r="VQ5" s="22"/>
      <c r="VR5" s="22"/>
      <c r="VS5" s="22"/>
      <c r="VT5" s="22"/>
      <c r="VU5" s="22"/>
      <c r="VV5" s="22"/>
      <c r="VW5" s="22"/>
      <c r="VX5" s="22"/>
      <c r="VY5" s="22"/>
      <c r="VZ5" s="22"/>
      <c r="WA5" s="22"/>
      <c r="WB5" s="22"/>
      <c r="WC5" s="22"/>
      <c r="WD5" s="22"/>
      <c r="WE5" s="22"/>
      <c r="WF5" s="22"/>
      <c r="WG5" s="22"/>
      <c r="WH5" s="22"/>
      <c r="WI5" s="22"/>
      <c r="WJ5" s="22"/>
      <c r="WK5" s="22"/>
      <c r="WL5" s="22"/>
      <c r="WM5" s="22"/>
      <c r="WN5" s="22"/>
      <c r="WO5" s="22"/>
      <c r="WP5" s="22"/>
      <c r="WQ5" s="22"/>
      <c r="WR5" s="22"/>
      <c r="WS5" s="22"/>
      <c r="WT5" s="22"/>
      <c r="WU5" s="22"/>
      <c r="WV5" s="22"/>
      <c r="WW5" s="22"/>
      <c r="WX5" s="22"/>
      <c r="WY5" s="22"/>
      <c r="WZ5" s="22"/>
      <c r="XA5" s="22"/>
      <c r="XB5" s="22"/>
      <c r="XC5" s="22"/>
      <c r="XD5" s="22"/>
      <c r="XE5" s="22"/>
      <c r="XF5" s="22"/>
      <c r="XG5" s="22"/>
      <c r="XH5" s="22"/>
      <c r="XI5" s="22"/>
      <c r="XJ5" s="22"/>
      <c r="XK5" s="22"/>
      <c r="XL5" s="22"/>
      <c r="XM5" s="22"/>
      <c r="XN5" s="22"/>
      <c r="XO5" s="22"/>
      <c r="XP5" s="22"/>
      <c r="XQ5" s="22"/>
      <c r="XR5" s="22"/>
      <c r="XS5" s="22"/>
      <c r="XT5" s="22"/>
      <c r="XU5" s="22"/>
      <c r="XV5" s="22"/>
      <c r="XW5" s="22"/>
      <c r="XX5" s="22"/>
      <c r="XY5" s="22"/>
      <c r="XZ5" s="22"/>
      <c r="YA5" s="22"/>
      <c r="YB5" s="22"/>
      <c r="YC5" s="22"/>
      <c r="YD5" s="22"/>
      <c r="YE5" s="22"/>
      <c r="YF5" s="22"/>
      <c r="YG5" s="22"/>
      <c r="YH5" s="22"/>
      <c r="YI5" s="22"/>
      <c r="YJ5" s="22"/>
      <c r="YK5" s="22"/>
      <c r="YL5" s="22"/>
      <c r="YM5" s="22"/>
      <c r="YN5" s="22"/>
      <c r="YO5" s="22"/>
      <c r="YP5" s="22"/>
      <c r="YQ5" s="22"/>
      <c r="YR5" s="22"/>
      <c r="YS5" s="22"/>
      <c r="YT5" s="22"/>
      <c r="YU5" s="22"/>
      <c r="YV5" s="22"/>
      <c r="YW5" s="22"/>
      <c r="YX5" s="22"/>
      <c r="YY5" s="22"/>
      <c r="YZ5" s="22"/>
      <c r="ZA5" s="22"/>
      <c r="ZB5" s="22"/>
      <c r="ZC5" s="22"/>
      <c r="ZD5" s="22"/>
      <c r="ZE5" s="22"/>
      <c r="ZF5" s="22"/>
      <c r="ZG5" s="22"/>
      <c r="ZH5" s="22"/>
      <c r="ZI5" s="22"/>
      <c r="ZJ5" s="22"/>
      <c r="ZK5" s="22"/>
      <c r="ZL5" s="22"/>
      <c r="ZM5" s="22"/>
      <c r="ZN5" s="22"/>
      <c r="ZO5" s="22"/>
      <c r="ZP5" s="22"/>
      <c r="ZQ5" s="22"/>
      <c r="ZR5" s="22"/>
      <c r="ZS5" s="22"/>
      <c r="ZT5" s="22"/>
      <c r="ZU5" s="22"/>
      <c r="ZV5" s="22"/>
      <c r="ZW5" s="22"/>
      <c r="ZX5" s="22"/>
      <c r="ZY5" s="22"/>
      <c r="ZZ5" s="22"/>
      <c r="AAA5" s="22"/>
      <c r="AAB5" s="22"/>
      <c r="AAC5" s="22"/>
      <c r="AAD5" s="22"/>
      <c r="AAE5" s="22"/>
      <c r="AAF5" s="22"/>
      <c r="AAG5" s="22"/>
      <c r="AAH5" s="22"/>
      <c r="AAI5" s="22"/>
      <c r="AAJ5" s="22"/>
      <c r="AAK5" s="22"/>
      <c r="AAL5" s="22"/>
      <c r="AAM5" s="22"/>
      <c r="AAN5" s="22"/>
      <c r="AAO5" s="22"/>
      <c r="AAP5" s="22"/>
      <c r="AAQ5" s="22"/>
      <c r="AAR5" s="22"/>
      <c r="AAS5" s="22"/>
      <c r="AAT5" s="22"/>
      <c r="AAU5" s="22"/>
      <c r="AAV5" s="22"/>
      <c r="AAW5" s="22"/>
      <c r="AAX5" s="22"/>
      <c r="AAY5" s="22"/>
      <c r="AAZ5" s="22"/>
      <c r="ABA5" s="22"/>
      <c r="ABB5" s="22"/>
      <c r="ABC5" s="22"/>
      <c r="ABD5" s="22"/>
      <c r="ABE5" s="22"/>
      <c r="ABF5" s="22"/>
      <c r="ABG5" s="22"/>
      <c r="ABH5" s="22"/>
      <c r="ABI5" s="22"/>
      <c r="ABJ5" s="22"/>
      <c r="ABK5" s="22"/>
      <c r="ABL5" s="22"/>
      <c r="ABM5" s="22"/>
      <c r="ABN5" s="22"/>
      <c r="ABO5" s="22"/>
      <c r="ABP5" s="22"/>
      <c r="ABQ5" s="22"/>
      <c r="ABR5" s="22"/>
      <c r="ABS5" s="22"/>
      <c r="ABT5" s="22"/>
      <c r="ABU5" s="22"/>
      <c r="ABV5" s="22"/>
      <c r="ABW5" s="22"/>
      <c r="ABX5" s="22"/>
      <c r="ABY5" s="22"/>
      <c r="ABZ5" s="22"/>
      <c r="ACA5" s="22"/>
      <c r="ACB5" s="22"/>
      <c r="ACC5" s="22"/>
      <c r="ACD5" s="22"/>
      <c r="ACE5" s="22"/>
      <c r="ACF5" s="22"/>
      <c r="ACG5" s="22"/>
      <c r="ACH5" s="22"/>
      <c r="ACI5" s="22"/>
      <c r="ACJ5" s="22"/>
      <c r="ACK5" s="22"/>
      <c r="ACL5" s="22"/>
      <c r="ACM5" s="22"/>
      <c r="ACN5" s="22"/>
      <c r="ACO5" s="22"/>
      <c r="ACP5" s="22"/>
      <c r="ACQ5" s="22"/>
      <c r="ACR5" s="22"/>
      <c r="ACS5" s="22"/>
      <c r="ACT5" s="22"/>
      <c r="ACU5" s="22"/>
      <c r="ACV5" s="22"/>
      <c r="ACW5" s="22"/>
      <c r="ACX5" s="22"/>
      <c r="ACY5" s="22"/>
      <c r="ACZ5" s="22"/>
      <c r="ADA5" s="22"/>
      <c r="ADB5" s="22"/>
      <c r="ADC5" s="22"/>
      <c r="ADD5" s="22"/>
      <c r="ADE5" s="22"/>
      <c r="ADF5" s="22"/>
      <c r="ADG5" s="22"/>
      <c r="ADH5" s="22"/>
      <c r="ADI5" s="22"/>
      <c r="ADJ5" s="22"/>
      <c r="ADK5" s="22"/>
      <c r="ADL5" s="22"/>
      <c r="ADM5" s="22"/>
      <c r="ADN5" s="22"/>
      <c r="ADO5" s="22"/>
      <c r="ADP5" s="22"/>
      <c r="ADQ5" s="22"/>
      <c r="ADR5" s="22"/>
      <c r="ADS5" s="22"/>
      <c r="ADT5" s="22"/>
      <c r="ADU5" s="22"/>
      <c r="ADV5" s="22"/>
      <c r="ADW5" s="22"/>
      <c r="ADX5" s="22"/>
      <c r="ADY5" s="22"/>
      <c r="ADZ5" s="22"/>
      <c r="AEA5" s="22"/>
      <c r="AEB5" s="22"/>
      <c r="AEC5" s="22"/>
      <c r="AED5" s="22"/>
      <c r="AEE5" s="22"/>
      <c r="AEF5" s="22"/>
      <c r="AEG5" s="22"/>
      <c r="AEH5" s="22"/>
      <c r="AEI5" s="22"/>
      <c r="AEJ5" s="22"/>
      <c r="AEK5" s="22"/>
      <c r="AEL5" s="22"/>
      <c r="AEM5" s="22"/>
      <c r="AEN5" s="22"/>
      <c r="AEO5" s="22"/>
      <c r="AEP5" s="22"/>
      <c r="AEQ5" s="22"/>
      <c r="AER5" s="22"/>
      <c r="AES5" s="22"/>
      <c r="AET5" s="22"/>
      <c r="AEU5" s="22"/>
      <c r="AEV5" s="22"/>
      <c r="AEW5" s="22"/>
      <c r="AEX5" s="22"/>
      <c r="AEY5" s="22"/>
      <c r="AEZ5" s="22"/>
      <c r="AFA5" s="22"/>
      <c r="AFB5" s="22"/>
      <c r="AFC5" s="22"/>
      <c r="AFD5" s="22"/>
      <c r="AFE5" s="22"/>
      <c r="AFF5" s="22"/>
      <c r="AFG5" s="22"/>
      <c r="AFH5" s="22"/>
      <c r="AFI5" s="22"/>
      <c r="AFJ5" s="22"/>
      <c r="AFK5" s="22"/>
      <c r="AFL5" s="22"/>
      <c r="AFM5" s="22"/>
      <c r="AFN5" s="22"/>
      <c r="AFO5" s="22"/>
      <c r="AFP5" s="22"/>
      <c r="AFQ5" s="22"/>
      <c r="AFR5" s="22"/>
      <c r="AFS5" s="22"/>
      <c r="AFT5" s="22"/>
      <c r="AFU5" s="22"/>
      <c r="AFV5" s="22"/>
      <c r="AFW5" s="22"/>
      <c r="AFX5" s="22"/>
      <c r="AFY5" s="22"/>
      <c r="AFZ5" s="22"/>
      <c r="AGA5" s="22"/>
      <c r="AGB5" s="22"/>
      <c r="AGC5" s="22"/>
      <c r="AGD5" s="22"/>
      <c r="AGE5" s="22"/>
      <c r="AGF5" s="22"/>
      <c r="AGG5" s="22"/>
      <c r="AGH5" s="22"/>
      <c r="AGI5" s="22"/>
      <c r="AGJ5" s="22"/>
      <c r="AGK5" s="22"/>
      <c r="AGL5" s="22"/>
      <c r="AGM5" s="22"/>
      <c r="AGN5" s="22"/>
      <c r="AGO5" s="22"/>
      <c r="AGP5" s="22"/>
      <c r="AGQ5" s="22"/>
      <c r="AGR5" s="22"/>
      <c r="AGS5" s="22"/>
      <c r="AGT5" s="22"/>
      <c r="AGU5" s="22"/>
      <c r="AGV5" s="22"/>
      <c r="AGW5" s="22"/>
      <c r="AGX5" s="22"/>
      <c r="AGY5" s="22"/>
      <c r="AGZ5" s="22"/>
      <c r="AHA5" s="22"/>
      <c r="AHB5" s="22"/>
      <c r="AHC5" s="22"/>
      <c r="AHD5" s="22"/>
      <c r="AHE5" s="22"/>
      <c r="AHF5" s="22"/>
      <c r="AHG5" s="22"/>
      <c r="AHH5" s="22"/>
      <c r="AHI5" s="22"/>
      <c r="AHJ5" s="22"/>
      <c r="AHK5" s="22"/>
      <c r="AHL5" s="22"/>
      <c r="AHM5" s="22"/>
      <c r="AHN5" s="22"/>
      <c r="AHO5" s="22"/>
      <c r="AHP5" s="22"/>
      <c r="AHQ5" s="22"/>
      <c r="AHR5" s="22"/>
      <c r="AHS5" s="22"/>
      <c r="AHT5" s="22"/>
      <c r="AHU5" s="22"/>
      <c r="AHV5" s="22"/>
      <c r="AHW5" s="22"/>
      <c r="AHX5" s="22"/>
      <c r="AHY5" s="22"/>
      <c r="AHZ5" s="22"/>
      <c r="AIA5" s="22"/>
      <c r="AIB5" s="22"/>
      <c r="AIC5" s="22"/>
      <c r="AID5" s="22"/>
      <c r="AIE5" s="22"/>
      <c r="AIF5" s="22"/>
      <c r="AIG5" s="22"/>
      <c r="AIH5" s="22"/>
      <c r="AII5" s="22"/>
      <c r="AIJ5" s="22"/>
      <c r="AIK5" s="22"/>
      <c r="AIL5" s="22"/>
      <c r="AIM5" s="22"/>
      <c r="AIN5" s="22"/>
      <c r="AIO5" s="22"/>
      <c r="AIP5" s="22"/>
      <c r="AIQ5" s="22"/>
      <c r="AIR5" s="22"/>
      <c r="AIS5" s="22"/>
      <c r="AIT5" s="22"/>
      <c r="AIU5" s="22"/>
      <c r="AIV5" s="22"/>
      <c r="AIW5" s="22"/>
      <c r="AIX5" s="22"/>
      <c r="AIY5" s="22"/>
      <c r="AIZ5" s="22"/>
      <c r="AJA5" s="22"/>
      <c r="AJB5" s="22"/>
      <c r="AJC5" s="22"/>
      <c r="AJD5" s="22"/>
      <c r="AJE5" s="22"/>
      <c r="AJF5" s="22"/>
      <c r="AJG5" s="22"/>
      <c r="AJH5" s="22"/>
      <c r="AJI5" s="22"/>
      <c r="AJJ5" s="22"/>
      <c r="AJK5" s="22"/>
      <c r="AJL5" s="22"/>
      <c r="AJM5" s="22"/>
      <c r="AJN5" s="22"/>
      <c r="AJO5" s="22"/>
      <c r="AJP5" s="22"/>
      <c r="AJQ5" s="22"/>
      <c r="AJR5" s="22"/>
      <c r="AJS5" s="22"/>
      <c r="AJT5" s="22"/>
      <c r="AJU5" s="22"/>
      <c r="AJV5" s="22"/>
      <c r="AJW5" s="22"/>
      <c r="AJX5" s="22"/>
      <c r="AJY5" s="22"/>
      <c r="AJZ5" s="22"/>
      <c r="AKA5" s="22"/>
      <c r="AKB5" s="22"/>
      <c r="AKC5" s="22"/>
      <c r="AKD5" s="22"/>
      <c r="AKE5" s="22"/>
      <c r="AKF5" s="22"/>
      <c r="AKG5" s="22"/>
      <c r="AKH5" s="22"/>
      <c r="AKI5" s="22"/>
      <c r="AKJ5" s="22"/>
      <c r="AKK5" s="22"/>
      <c r="AKL5" s="22"/>
      <c r="AKM5" s="22"/>
      <c r="AKN5" s="22"/>
      <c r="AKO5" s="22"/>
      <c r="AKP5" s="22"/>
      <c r="AKQ5" s="22"/>
      <c r="AKR5" s="22"/>
      <c r="AKS5" s="22"/>
      <c r="AKT5" s="22"/>
      <c r="AKU5" s="22"/>
      <c r="AKV5" s="22"/>
      <c r="AKW5" s="22"/>
      <c r="AKX5" s="22"/>
      <c r="AKY5" s="22"/>
      <c r="AKZ5" s="22"/>
      <c r="ALA5" s="22"/>
      <c r="ALB5" s="22"/>
      <c r="ALC5" s="22"/>
      <c r="ALD5" s="22"/>
      <c r="ALE5" s="22"/>
      <c r="ALF5" s="22"/>
      <c r="ALG5" s="22"/>
      <c r="ALH5" s="22"/>
      <c r="ALI5" s="22"/>
      <c r="ALJ5" s="22"/>
      <c r="ALK5" s="22"/>
      <c r="ALL5" s="22"/>
      <c r="ALM5" s="22"/>
      <c r="ALN5" s="22"/>
      <c r="ALO5" s="22"/>
      <c r="ALP5" s="22"/>
      <c r="ALQ5" s="22"/>
      <c r="ALR5" s="22"/>
      <c r="ALS5" s="22"/>
      <c r="ALT5" s="22"/>
      <c r="ALU5" s="22"/>
      <c r="ALV5" s="22"/>
      <c r="ALW5" s="22"/>
      <c r="ALX5" s="22"/>
      <c r="ALY5" s="22"/>
      <c r="ALZ5" s="22"/>
      <c r="AMA5" s="22"/>
      <c r="AMB5" s="22"/>
      <c r="AMC5" s="22"/>
      <c r="AMD5" s="22"/>
      <c r="AME5" s="22"/>
      <c r="AMF5" s="22"/>
      <c r="AMG5" s="22"/>
      <c r="AMH5" s="22"/>
    </row>
    <row r="6" spans="1:1022" ht="31.5" x14ac:dyDescent="0.25">
      <c r="A6" s="23" t="s">
        <v>26</v>
      </c>
      <c r="B6" s="24" t="s">
        <v>25</v>
      </c>
      <c r="C6" s="25" t="s">
        <v>27</v>
      </c>
      <c r="D6" s="26">
        <v>1</v>
      </c>
      <c r="E6" s="66">
        <f>576*9</f>
        <v>5184</v>
      </c>
      <c r="F6" s="26"/>
      <c r="G6" s="26"/>
      <c r="H6" s="26">
        <v>12</v>
      </c>
      <c r="I6" s="26">
        <f t="shared" si="0"/>
        <v>432</v>
      </c>
      <c r="J6" s="27">
        <v>6.8</v>
      </c>
      <c r="K6" s="27">
        <f t="shared" si="14"/>
        <v>7.0204586361647108</v>
      </c>
      <c r="L6" s="27">
        <f t="shared" si="9"/>
        <v>35251.199999999997</v>
      </c>
      <c r="M6" s="28">
        <f t="shared" si="1"/>
        <v>5028.4799999999996</v>
      </c>
      <c r="N6" s="24">
        <f t="shared" si="10"/>
        <v>77.111971187641899</v>
      </c>
      <c r="O6" s="29">
        <f t="shared" si="15"/>
        <v>564.36926374919346</v>
      </c>
      <c r="P6" s="29">
        <f t="shared" si="2"/>
        <v>2718538.6721647256</v>
      </c>
      <c r="Q6" s="29">
        <f t="shared" si="3"/>
        <v>787744.6343770416</v>
      </c>
      <c r="R6" s="29">
        <f t="shared" si="4"/>
        <v>371020.9968411036</v>
      </c>
      <c r="S6" s="29">
        <f t="shared" si="5"/>
        <v>11303.520456707894</v>
      </c>
      <c r="T6" s="29">
        <f t="shared" si="6"/>
        <v>3888607.8238395788</v>
      </c>
      <c r="U6" s="30">
        <f t="shared" si="13"/>
        <v>848.19331412929444</v>
      </c>
      <c r="V6" s="31">
        <v>970</v>
      </c>
      <c r="W6" s="32">
        <f t="shared" si="16"/>
        <v>0.1436072223650397</v>
      </c>
      <c r="X6" s="33">
        <f t="shared" si="7"/>
        <v>5028480</v>
      </c>
      <c r="Y6" s="33">
        <f t="shared" si="8"/>
        <v>4397034.1404462624</v>
      </c>
      <c r="Z6" s="21"/>
      <c r="AA6" s="21"/>
      <c r="AB6" s="21"/>
    </row>
    <row r="7" spans="1:1022" ht="15.75" x14ac:dyDescent="0.25">
      <c r="A7" s="23" t="s">
        <v>37</v>
      </c>
      <c r="B7" s="58" t="s">
        <v>33</v>
      </c>
      <c r="C7" s="59" t="s">
        <v>34</v>
      </c>
      <c r="D7" s="26">
        <v>4</v>
      </c>
      <c r="E7" s="26">
        <v>144</v>
      </c>
      <c r="F7" s="26"/>
      <c r="G7" s="26"/>
      <c r="H7" s="26">
        <v>6</v>
      </c>
      <c r="I7" s="26">
        <f t="shared" si="0"/>
        <v>24</v>
      </c>
      <c r="J7" s="27">
        <v>15.11</v>
      </c>
      <c r="K7" s="27">
        <f t="shared" si="14"/>
        <v>15.33045863616471</v>
      </c>
      <c r="L7" s="27">
        <f t="shared" si="9"/>
        <v>2175.84</v>
      </c>
      <c r="M7" s="28">
        <f t="shared" si="1"/>
        <v>558.72</v>
      </c>
      <c r="N7" s="24">
        <f t="shared" si="10"/>
        <v>77.111971187641899</v>
      </c>
      <c r="O7" s="29">
        <f t="shared" si="15"/>
        <v>1232.4037647426931</v>
      </c>
      <c r="P7" s="29">
        <f t="shared" si="2"/>
        <v>167798.69009971002</v>
      </c>
      <c r="Q7" s="29">
        <f t="shared" si="3"/>
        <v>48622.636541818218</v>
      </c>
      <c r="R7" s="29">
        <f t="shared" si="4"/>
        <v>41224.55520456707</v>
      </c>
      <c r="S7" s="29">
        <f t="shared" si="5"/>
        <v>1255.9467174119884</v>
      </c>
      <c r="T7" s="29">
        <f t="shared" si="6"/>
        <v>258901.82856350727</v>
      </c>
      <c r="U7" s="30">
        <f t="shared" si="13"/>
        <v>1852.1856180088935</v>
      </c>
      <c r="V7" s="31">
        <v>2950</v>
      </c>
      <c r="W7" s="32">
        <f t="shared" si="16"/>
        <v>0.5927129394143883</v>
      </c>
      <c r="X7" s="33">
        <f t="shared" si="7"/>
        <v>424800</v>
      </c>
      <c r="Y7" s="33">
        <f t="shared" si="8"/>
        <v>266714.72899328067</v>
      </c>
      <c r="Z7" s="21"/>
      <c r="AA7" s="21"/>
      <c r="AB7" s="21"/>
    </row>
    <row r="8" spans="1:1022" ht="15.75" x14ac:dyDescent="0.25">
      <c r="A8" s="62" t="s">
        <v>36</v>
      </c>
      <c r="B8" s="58" t="s">
        <v>33</v>
      </c>
      <c r="C8" s="59" t="s">
        <v>35</v>
      </c>
      <c r="D8" s="26">
        <v>1</v>
      </c>
      <c r="E8" s="26">
        <v>144</v>
      </c>
      <c r="F8" s="26"/>
      <c r="G8" s="26"/>
      <c r="H8" s="26">
        <v>24</v>
      </c>
      <c r="I8" s="26">
        <f t="shared" si="0"/>
        <v>6</v>
      </c>
      <c r="J8" s="27">
        <v>4.21</v>
      </c>
      <c r="K8" s="27">
        <f t="shared" si="14"/>
        <v>4.4304586361647109</v>
      </c>
      <c r="L8" s="27">
        <f t="shared" si="9"/>
        <v>606.24</v>
      </c>
      <c r="M8" s="28">
        <f t="shared" si="1"/>
        <v>139.68</v>
      </c>
      <c r="N8" s="24">
        <f t="shared" si="10"/>
        <v>77.111971187641899</v>
      </c>
      <c r="O8" s="29">
        <f t="shared" si="15"/>
        <v>356.16115814472124</v>
      </c>
      <c r="P8" s="29">
        <f t="shared" si="2"/>
        <v>46752.646281917871</v>
      </c>
      <c r="Q8" s="29">
        <f t="shared" si="3"/>
        <v>13547.405681075757</v>
      </c>
      <c r="R8" s="29">
        <f t="shared" si="4"/>
        <v>10306.138801141768</v>
      </c>
      <c r="S8" s="29">
        <f t="shared" si="5"/>
        <v>313.9866793529971</v>
      </c>
      <c r="T8" s="29">
        <f t="shared" si="6"/>
        <v>70920.177443488399</v>
      </c>
      <c r="U8" s="30">
        <f t="shared" si="13"/>
        <v>535.27633855189833</v>
      </c>
      <c r="V8" s="31">
        <v>785</v>
      </c>
      <c r="W8" s="32">
        <f t="shared" si="16"/>
        <v>0.4665322254364685</v>
      </c>
      <c r="X8" s="33">
        <f t="shared" si="7"/>
        <v>113040</v>
      </c>
      <c r="Y8" s="33">
        <f t="shared" si="8"/>
        <v>77079.79275147336</v>
      </c>
      <c r="Z8" s="21"/>
      <c r="AA8" s="21"/>
      <c r="AB8" s="21"/>
    </row>
    <row r="9" spans="1:1022" ht="15.75" x14ac:dyDescent="0.25">
      <c r="A9" s="62" t="s">
        <v>43</v>
      </c>
      <c r="B9" s="58" t="s">
        <v>44</v>
      </c>
      <c r="C9" s="59" t="s">
        <v>45</v>
      </c>
      <c r="D9" s="26">
        <v>4</v>
      </c>
      <c r="E9" s="26">
        <f>144*4</f>
        <v>576</v>
      </c>
      <c r="F9" s="26"/>
      <c r="G9" s="26"/>
      <c r="H9" s="26">
        <v>4</v>
      </c>
      <c r="I9" s="26">
        <f t="shared" si="0"/>
        <v>144</v>
      </c>
      <c r="J9" s="27">
        <v>26.66</v>
      </c>
      <c r="K9" s="27">
        <f t="shared" si="14"/>
        <v>26.880458636164711</v>
      </c>
      <c r="L9" s="27">
        <f t="shared" si="9"/>
        <v>15356.16</v>
      </c>
      <c r="M9" s="28">
        <f t="shared" si="1"/>
        <v>2234.88</v>
      </c>
      <c r="N9" s="24">
        <f t="shared" si="10"/>
        <v>77.111971187641899</v>
      </c>
      <c r="O9" s="29">
        <f t="shared" ref="O9" si="21">K9*N9*1.0425</f>
        <v>2160.8993708166904</v>
      </c>
      <c r="P9" s="29">
        <f t="shared" si="2"/>
        <v>1184252.303920124</v>
      </c>
      <c r="Q9" s="29">
        <f t="shared" si="3"/>
        <v>343158.03843941062</v>
      </c>
      <c r="R9" s="29">
        <f t="shared" si="4"/>
        <v>164898.22081826828</v>
      </c>
      <c r="S9" s="29">
        <f t="shared" si="5"/>
        <v>5023.7868696479536</v>
      </c>
      <c r="T9" s="29">
        <f t="shared" si="6"/>
        <v>1697332.3500474507</v>
      </c>
      <c r="U9" s="30">
        <f t="shared" si="13"/>
        <v>3247.626184772957</v>
      </c>
      <c r="V9" s="31">
        <v>4070</v>
      </c>
      <c r="W9" s="32">
        <f>IFERROR((V9-U9)/U9,"")</f>
        <v>0.25322305229674563</v>
      </c>
      <c r="X9" s="33">
        <f t="shared" si="7"/>
        <v>2344320</v>
      </c>
      <c r="Y9" s="33">
        <f t="shared" si="8"/>
        <v>1870632.6824292233</v>
      </c>
      <c r="Z9" s="21"/>
      <c r="AA9" s="21"/>
      <c r="AB9" s="21"/>
    </row>
    <row r="10" spans="1:1022" ht="15.75" x14ac:dyDescent="0.25">
      <c r="A10" s="46"/>
      <c r="B10" s="47"/>
      <c r="C10" s="48"/>
      <c r="D10" s="49"/>
      <c r="E10" s="49"/>
      <c r="F10" s="49"/>
      <c r="G10" s="49"/>
      <c r="H10" s="49"/>
      <c r="I10" s="49"/>
      <c r="J10" s="49"/>
      <c r="K10" s="50"/>
      <c r="L10" s="50"/>
      <c r="M10" s="57"/>
      <c r="N10" s="47"/>
      <c r="O10" s="51"/>
      <c r="P10" s="51"/>
      <c r="Q10" s="51"/>
      <c r="R10" s="51"/>
      <c r="S10" s="34"/>
      <c r="T10" s="51"/>
      <c r="U10" s="52"/>
      <c r="V10" s="57"/>
      <c r="W10" s="53"/>
      <c r="X10" s="63">
        <f>SUM(X2:X9)</f>
        <v>22379040</v>
      </c>
      <c r="Y10" s="63">
        <f>SUM(Y2:Y9)</f>
        <v>18366336.516362838</v>
      </c>
      <c r="Z10" s="21"/>
      <c r="AA10" s="21"/>
      <c r="AB10" s="21"/>
    </row>
    <row r="11" spans="1:1022" ht="15.75" x14ac:dyDescent="0.25">
      <c r="A11" s="46"/>
      <c r="B11" s="47"/>
      <c r="C11" s="48"/>
      <c r="D11" s="49"/>
      <c r="E11" s="49"/>
      <c r="F11" s="49"/>
      <c r="G11" s="49"/>
      <c r="H11" s="49"/>
      <c r="I11" s="49"/>
      <c r="J11" s="49"/>
      <c r="K11" s="50"/>
      <c r="L11" s="50"/>
      <c r="M11" s="57"/>
      <c r="N11" s="47"/>
      <c r="O11" s="51"/>
      <c r="P11" s="51"/>
      <c r="Q11" s="51"/>
      <c r="R11" s="51"/>
      <c r="S11" s="34"/>
      <c r="T11" s="51"/>
      <c r="U11" s="52"/>
      <c r="V11" s="57"/>
      <c r="W11" s="53"/>
      <c r="X11" s="54"/>
      <c r="Y11" s="54"/>
      <c r="Z11" s="21"/>
      <c r="AA11" s="21"/>
      <c r="AB11" s="21"/>
    </row>
    <row r="12" spans="1:1022" ht="15.75" x14ac:dyDescent="0.25">
      <c r="A12" s="46"/>
      <c r="B12" s="47"/>
      <c r="C12" s="48"/>
      <c r="D12" s="49"/>
      <c r="E12" s="49"/>
      <c r="F12" s="49"/>
      <c r="G12" s="49"/>
      <c r="H12" s="49"/>
      <c r="I12" s="49"/>
      <c r="J12" s="49"/>
      <c r="K12" s="50"/>
      <c r="L12" s="50"/>
      <c r="M12" s="57"/>
      <c r="N12" s="47"/>
      <c r="O12" s="51"/>
      <c r="P12" s="51"/>
      <c r="Q12" s="51"/>
      <c r="R12" s="51"/>
      <c r="S12" s="34"/>
      <c r="T12" s="51"/>
      <c r="U12" s="52"/>
      <c r="V12" s="57"/>
      <c r="W12" s="53"/>
      <c r="X12" s="54"/>
      <c r="Y12" s="54"/>
      <c r="Z12" s="21"/>
      <c r="AA12" s="21"/>
      <c r="AB12" s="21"/>
    </row>
    <row r="13" spans="1:1022" ht="15.75" x14ac:dyDescent="0.25">
      <c r="A13" s="35"/>
      <c r="B13" s="36"/>
      <c r="C13" s="36"/>
      <c r="D13" s="37"/>
      <c r="E13" s="38">
        <f>SUM(E2:E9)</f>
        <v>19704</v>
      </c>
      <c r="F13" s="38"/>
      <c r="G13" s="38"/>
      <c r="H13" s="39"/>
      <c r="I13" s="38">
        <f>SUM(I2:I9)</f>
        <v>1330</v>
      </c>
      <c r="J13" s="38"/>
      <c r="K13" s="39"/>
      <c r="L13" s="60">
        <f>SUMIF(L2:L9,"&lt;&gt;#ДЕЛ/0!")</f>
        <v>147673.44</v>
      </c>
      <c r="M13" s="61">
        <f>SUM(M2:M9)</f>
        <v>24467.280000000002</v>
      </c>
      <c r="O13" s="7"/>
      <c r="P13" s="40">
        <f>SUMIF(P2:P9,"&lt;&gt;#ДЕЛ/0!")</f>
        <v>11388433.79776</v>
      </c>
      <c r="Q13" s="40">
        <f>SUMIF(Q2:Q9,"&lt;&gt;#ДЕЛ/0!")</f>
        <v>3300000</v>
      </c>
      <c r="R13" s="40">
        <f>SUMIF(R2:R9,"&lt;&gt;#ДЕЛ/0!")</f>
        <v>1805291.9799999995</v>
      </c>
      <c r="S13" s="40">
        <f>SUMIF(S2:S9,"&lt;&gt;#ДЕЛ/0!")</f>
        <v>54999.999999999993</v>
      </c>
      <c r="T13" s="40">
        <f>SUMIF(T2:T9,"&lt;&gt;#ДЕЛ/0!")</f>
        <v>16548725.777759997</v>
      </c>
      <c r="U13" s="67" t="s">
        <v>51</v>
      </c>
      <c r="V13" s="21"/>
      <c r="Y13" s="21"/>
      <c r="Z13" s="21"/>
      <c r="AA13" s="21"/>
      <c r="AB13" s="21"/>
      <c r="AMG13" s="5"/>
      <c r="AMH13" s="5"/>
    </row>
    <row r="14" spans="1:1022" ht="30" x14ac:dyDescent="0.25">
      <c r="L14" s="55" t="s">
        <v>28</v>
      </c>
      <c r="M14" s="56">
        <f>(M13/700)*20+M13</f>
        <v>25166.345142857146</v>
      </c>
      <c r="O14" s="7"/>
      <c r="P14" s="41" t="s">
        <v>29</v>
      </c>
      <c r="Q14" s="41" t="s">
        <v>29</v>
      </c>
      <c r="R14" s="41" t="s">
        <v>29</v>
      </c>
      <c r="S14" s="41" t="s">
        <v>29</v>
      </c>
      <c r="T14" s="42"/>
      <c r="X14" s="64" t="s">
        <v>30</v>
      </c>
      <c r="Y14" s="65">
        <f>(X10-Y10)/Y10</f>
        <v>0.21848143096268466</v>
      </c>
    </row>
    <row r="15" spans="1:1022" ht="15.75" x14ac:dyDescent="0.25">
      <c r="L15" s="6"/>
      <c r="M15" s="6"/>
      <c r="P15" s="43">
        <v>11388433.79776</v>
      </c>
      <c r="Q15" s="43">
        <v>3300000</v>
      </c>
      <c r="R15" s="44">
        <f>89511.98+121860+884426+31496+38918+75000+(E13*20)+170000</f>
        <v>1805291.98</v>
      </c>
      <c r="S15" s="44">
        <f>40000+15000</f>
        <v>55000</v>
      </c>
      <c r="T15" s="43">
        <f>P15+Q15+R15+S15</f>
        <v>16548725.777760001</v>
      </c>
      <c r="U15" s="43">
        <v>17115732.599422459</v>
      </c>
    </row>
    <row r="16" spans="1:1022" x14ac:dyDescent="0.2">
      <c r="L16" s="6"/>
      <c r="M16" s="6"/>
      <c r="N16" s="5"/>
      <c r="Q16" s="5"/>
      <c r="R16" s="5"/>
      <c r="S16" s="5"/>
      <c r="T16" s="5"/>
    </row>
    <row r="17" spans="12:20" x14ac:dyDescent="0.2">
      <c r="L17" s="6"/>
      <c r="M17" s="6"/>
      <c r="N17" s="5"/>
      <c r="Q17" s="5"/>
      <c r="R17" s="5"/>
      <c r="S17" s="5"/>
      <c r="T17" s="5"/>
    </row>
    <row r="18" spans="12:20" x14ac:dyDescent="0.2">
      <c r="L18" s="6"/>
      <c r="M18" s="6"/>
      <c r="N18" s="5"/>
      <c r="Q18" s="5"/>
      <c r="R18" s="5"/>
      <c r="S18" s="5"/>
      <c r="T18" s="5"/>
    </row>
    <row r="19" spans="12:20" x14ac:dyDescent="0.2">
      <c r="L19" s="6"/>
      <c r="M19" s="6"/>
      <c r="N19" s="5"/>
      <c r="Q19" s="45"/>
      <c r="R19" s="5"/>
      <c r="S19" s="5"/>
      <c r="T19" s="5"/>
    </row>
    <row r="20" spans="12:20" x14ac:dyDescent="0.2">
      <c r="L20" s="6"/>
      <c r="M20" s="6"/>
      <c r="N20" s="5"/>
      <c r="Q20" s="5"/>
      <c r="R20" s="5"/>
      <c r="S20" s="5"/>
      <c r="T20" s="5"/>
    </row>
    <row r="21" spans="12:20" x14ac:dyDescent="0.2">
      <c r="N21" s="5"/>
      <c r="Q21" s="5"/>
      <c r="R21" s="5"/>
      <c r="S21" s="5"/>
      <c r="T21" s="5"/>
    </row>
    <row r="22" spans="12:20" x14ac:dyDescent="0.2">
      <c r="N22" s="5"/>
      <c r="Q22" s="5"/>
      <c r="R22" s="5"/>
      <c r="S22" s="5"/>
      <c r="T22" s="5"/>
    </row>
    <row r="23" spans="12:20" x14ac:dyDescent="0.2">
      <c r="N23" s="5"/>
      <c r="Q23" s="5"/>
      <c r="R23" s="5"/>
      <c r="S23" s="5"/>
      <c r="T23" s="5"/>
    </row>
    <row r="24" spans="12:20" x14ac:dyDescent="0.2">
      <c r="N24" s="5"/>
      <c r="Q24" s="5"/>
      <c r="R24" s="5"/>
      <c r="S24" s="5"/>
      <c r="T24" s="5"/>
    </row>
    <row r="25" spans="12:20" x14ac:dyDescent="0.2">
      <c r="N25" s="5"/>
      <c r="Q25" s="5"/>
      <c r="R25" s="5"/>
      <c r="S25" s="5"/>
      <c r="T25" s="5"/>
    </row>
    <row r="26" spans="12:20" x14ac:dyDescent="0.2">
      <c r="L26" s="7">
        <f>L13*3.67</f>
        <v>541961.52480000001</v>
      </c>
      <c r="N26" s="5"/>
      <c r="Q26" s="5"/>
      <c r="R26" s="5"/>
      <c r="S26" s="5"/>
      <c r="T26" s="5"/>
    </row>
    <row r="27" spans="12:20" x14ac:dyDescent="0.2">
      <c r="N27" s="5"/>
      <c r="Q27" s="5"/>
      <c r="R27" s="5"/>
      <c r="S27" s="5"/>
      <c r="T27" s="5"/>
    </row>
    <row r="28" spans="12:20" x14ac:dyDescent="0.2">
      <c r="N28" s="5"/>
      <c r="Q28" s="5"/>
      <c r="R28" s="5"/>
      <c r="S28" s="5"/>
      <c r="T28" s="5"/>
    </row>
    <row r="29" spans="12:20" x14ac:dyDescent="0.2">
      <c r="N29" s="5"/>
      <c r="Q29" s="5"/>
      <c r="R29" s="5"/>
      <c r="S29" s="5"/>
      <c r="T29" s="5"/>
    </row>
    <row r="30" spans="12:20" x14ac:dyDescent="0.2">
      <c r="N30" s="5"/>
      <c r="Q30" s="5"/>
      <c r="R30" s="5"/>
      <c r="S30" s="5"/>
      <c r="T30" s="5"/>
    </row>
    <row r="31" spans="12:20" x14ac:dyDescent="0.2">
      <c r="N31" s="5"/>
      <c r="Q31" s="5"/>
      <c r="R31" s="5"/>
      <c r="S31" s="5"/>
      <c r="T31" s="5"/>
    </row>
    <row r="32" spans="12:20" x14ac:dyDescent="0.2">
      <c r="N32" s="5"/>
      <c r="Q32" s="5"/>
      <c r="R32" s="5"/>
      <c r="S32" s="5"/>
      <c r="T32" s="5"/>
    </row>
    <row r="33" spans="14:20" x14ac:dyDescent="0.2">
      <c r="N33" s="5"/>
      <c r="Q33" s="5"/>
      <c r="R33" s="5"/>
      <c r="S33" s="5"/>
      <c r="T33" s="5"/>
    </row>
    <row r="34" spans="14:20" x14ac:dyDescent="0.2">
      <c r="N34" s="5"/>
      <c r="Q34" s="5"/>
      <c r="R34" s="5"/>
      <c r="S34" s="5"/>
      <c r="T34" s="5"/>
    </row>
    <row r="35" spans="14:20" x14ac:dyDescent="0.2">
      <c r="N35" s="5"/>
      <c r="Q35" s="5"/>
      <c r="R35" s="5"/>
      <c r="S35" s="5"/>
      <c r="T35" s="5"/>
    </row>
  </sheetData>
  <conditionalFormatting sqref="W15:W1048576 W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4C04-4F24-4937-9FC6-E55E6757B71B}">
  <dimension ref="A1:E13"/>
  <sheetViews>
    <sheetView workbookViewId="0">
      <selection activeCell="F29" sqref="F29"/>
    </sheetView>
  </sheetViews>
  <sheetFormatPr defaultRowHeight="12.75" x14ac:dyDescent="0.2"/>
  <cols>
    <col min="1" max="1" width="20.140625" bestFit="1" customWidth="1"/>
    <col min="2" max="2" width="17.28515625" bestFit="1" customWidth="1"/>
    <col min="3" max="3" width="59.7109375" bestFit="1" customWidth="1"/>
    <col min="4" max="4" width="7.28515625" bestFit="1" customWidth="1"/>
    <col min="5" max="5" width="10.855468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48</v>
      </c>
    </row>
    <row r="2" spans="1:5" x14ac:dyDescent="0.2">
      <c r="A2" t="s">
        <v>22</v>
      </c>
      <c r="B2" t="s">
        <v>23</v>
      </c>
      <c r="C2" t="s">
        <v>24</v>
      </c>
      <c r="D2">
        <v>1</v>
      </c>
      <c r="E2">
        <v>12096</v>
      </c>
    </row>
    <row r="3" spans="1:5" x14ac:dyDescent="0.2">
      <c r="A3" t="s">
        <v>46</v>
      </c>
      <c r="B3" t="s">
        <v>32</v>
      </c>
      <c r="C3" t="s">
        <v>31</v>
      </c>
      <c r="D3">
        <v>5</v>
      </c>
      <c r="E3">
        <v>600</v>
      </c>
    </row>
    <row r="4" spans="1:5" x14ac:dyDescent="0.2">
      <c r="A4" t="s">
        <v>41</v>
      </c>
      <c r="B4" t="s">
        <v>32</v>
      </c>
      <c r="C4" t="s">
        <v>47</v>
      </c>
      <c r="D4">
        <v>5</v>
      </c>
      <c r="E4">
        <v>240</v>
      </c>
    </row>
    <row r="5" spans="1:5" x14ac:dyDescent="0.2">
      <c r="A5" t="s">
        <v>42</v>
      </c>
      <c r="B5" t="s">
        <v>32</v>
      </c>
      <c r="C5" t="s">
        <v>47</v>
      </c>
      <c r="D5">
        <v>1</v>
      </c>
      <c r="E5">
        <v>720</v>
      </c>
    </row>
    <row r="6" spans="1:5" x14ac:dyDescent="0.2">
      <c r="A6" t="s">
        <v>26</v>
      </c>
      <c r="B6" t="s">
        <v>25</v>
      </c>
      <c r="C6" t="s">
        <v>27</v>
      </c>
      <c r="D6">
        <v>1</v>
      </c>
      <c r="E6">
        <v>5184</v>
      </c>
    </row>
    <row r="7" spans="1:5" x14ac:dyDescent="0.2">
      <c r="A7" t="s">
        <v>37</v>
      </c>
      <c r="B7" t="s">
        <v>33</v>
      </c>
      <c r="C7" t="s">
        <v>34</v>
      </c>
      <c r="D7">
        <v>4</v>
      </c>
      <c r="E7">
        <v>144</v>
      </c>
    </row>
    <row r="8" spans="1:5" x14ac:dyDescent="0.2">
      <c r="A8" t="s">
        <v>36</v>
      </c>
      <c r="B8" t="s">
        <v>33</v>
      </c>
      <c r="C8" t="s">
        <v>35</v>
      </c>
      <c r="D8">
        <v>1</v>
      </c>
      <c r="E8">
        <v>144</v>
      </c>
    </row>
    <row r="9" spans="1:5" x14ac:dyDescent="0.2">
      <c r="A9" t="s">
        <v>43</v>
      </c>
      <c r="B9" t="s">
        <v>44</v>
      </c>
      <c r="C9" t="s">
        <v>45</v>
      </c>
      <c r="D9">
        <v>4</v>
      </c>
      <c r="E9">
        <v>576</v>
      </c>
    </row>
    <row r="13" spans="1:5" x14ac:dyDescent="0.2">
      <c r="A13" t="s">
        <v>49</v>
      </c>
      <c r="B1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ФПЗ_Э5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 Шалабаев</dc:creator>
  <dc:description/>
  <cp:lastModifiedBy>Vladislav Zinovyev</cp:lastModifiedBy>
  <cp:revision>62</cp:revision>
  <dcterms:created xsi:type="dcterms:W3CDTF">2024-10-07T18:09:28Z</dcterms:created>
  <dcterms:modified xsi:type="dcterms:W3CDTF">2026-05-20T13:26:51Z</dcterms:modified>
  <dc:language>ru-RU</dc:language>
</cp:coreProperties>
</file>