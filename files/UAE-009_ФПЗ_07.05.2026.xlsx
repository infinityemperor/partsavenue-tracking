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001 UAE\UAE#9_APMG\"/>
    </mc:Choice>
  </mc:AlternateContent>
  <xr:revisionPtr revIDLastSave="0" documentId="13_ncr:1_{ABB3B8CD-6291-43F9-9579-8E7583137456}" xr6:coauthVersionLast="47" xr6:coauthVersionMax="47" xr10:uidLastSave="{00000000-0000-0000-0000-000000000000}"/>
  <bookViews>
    <workbookView xWindow="2370" yWindow="2145" windowWidth="35295" windowHeight="18060" xr2:uid="{00000000-000D-0000-FFFF-FFFF00000000}"/>
  </bookViews>
  <sheets>
    <sheet name="ФПЗ_Э9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4" i="1"/>
  <c r="U2" i="1" l="1"/>
  <c r="L2" i="1"/>
  <c r="I2" i="1"/>
  <c r="I4" i="1" s="1"/>
  <c r="M6" i="1" s="1"/>
  <c r="G2" i="1"/>
  <c r="N6" i="1" l="1"/>
  <c r="Q6" i="1" s="1"/>
  <c r="G4" i="1"/>
  <c r="E4" i="1"/>
  <c r="E16" i="1" s="1"/>
  <c r="P2" i="1"/>
  <c r="O2" i="1"/>
  <c r="M2" i="1"/>
  <c r="U3" i="1"/>
  <c r="N2" i="1" l="1"/>
  <c r="N4" i="1" s="1"/>
  <c r="P4" i="1"/>
  <c r="O4" i="1"/>
  <c r="M4" i="1"/>
  <c r="Q2" i="1" l="1"/>
  <c r="R2" i="1" s="1"/>
  <c r="Q4" i="1" l="1"/>
  <c r="V2" i="1"/>
  <c r="V3" i="1" s="1"/>
  <c r="U6" i="1" s="1"/>
  <c r="T2" i="1"/>
  <c r="V5" i="1" l="1"/>
</calcChain>
</file>

<file path=xl/sharedStrings.xml><?xml version="1.0" encoding="utf-8"?>
<sst xmlns="http://schemas.openxmlformats.org/spreadsheetml/2006/main" count="30" uniqueCount="27">
  <si>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</si>
  <si>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</si>
  <si>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</si>
  <si>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</si>
  <si>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</si>
  <si>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</si>
  <si>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</si>
  <si>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</si>
  <si>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</si>
  <si>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</si>
  <si>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</si>
  <si>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</si>
  <si>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</si>
  <si>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</si>
  <si>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</si>
  <si>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</si>
  <si>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</si>
  <si>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</si>
  <si>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</si>
  <si>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</si>
  <si>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</si>
  <si>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</si>
  <si>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введите</t>
  </si>
  <si>
    <t xml:space="preserve">Ожидаемый % рент. </t>
  </si>
  <si>
    <t>BMW</t>
  </si>
  <si>
    <t>0450000115|Масло трансмиссионное ATF|Hyundai-KIA|SP-IV|Синтетическое|ОАЭ|12x1л</t>
  </si>
  <si>
    <t>0450000115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</si>
</sst>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#,##0.0"/>
  </numFmts>
  <fonts count="13" x14ac:knownFonts="1">
    <font>
      <sz val="10"/>
      <color indexed="64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0"/>
      <name val="Arial"/>
      <family val="2"/>
      <charset val="204"/>
    </font>
    <font>
      <b/>
      <sz val="12"/>
      <color rgb="FF00A933"/>
      <name val="Calibri Light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56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6" fillId="0" borderId="0" xfId="0" applyNumberFormat="1" applyFont="1" applyAlignment="1" applyProtection="1">
      <alignment horizontal="center" wrapText="1"/>
    </xf>
    <xf numFmtId="1" fontId="5" fillId="0" borderId="0" xfId="0" applyNumberFormat="1" applyFont="1" applyAlignment="1" applyProtection="1">
      <alignment horizontal="center" wrapText="1"/>
    </xf>
    <xf numFmtId="167" fontId="7" fillId="0" borderId="0" xfId="0" applyNumberFormat="1" applyFont="1" applyAlignment="1" applyProtection="1">
      <alignment horizontal="center" wrapText="1"/>
    </xf>
    <xf numFmtId="2" fontId="7" fillId="0" borderId="0" xfId="0" applyNumberFormat="1" applyFont="1" applyAlignment="1" applyProtection="1">
      <alignment horizontal="center" wrapText="1"/>
    </xf>
    <xf numFmtId="165" fontId="5" fillId="0" borderId="4" xfId="0" applyNumberFormat="1" applyFont="1" applyBorder="1" applyAlignment="1" applyProtection="1">
      <alignment horizontal="righ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67" fontId="9" fillId="6" borderId="0" xfId="0" applyNumberFormat="1" applyFont="1" applyFill="1" applyProtection="1"/>
    <xf numFmtId="1" fontId="8" fillId="5" borderId="0" xfId="0" applyNumberFormat="1" applyFont="1" applyFill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0" fontId="11" fillId="0" borderId="2" xfId="0" applyFont="1" applyBorder="1"/>
    <xf numFmtId="10" fontId="11" fillId="0" borderId="2" xfId="3" applyNumberFormat="1" applyFont="1" applyBorder="1" applyProtection="1"/>
    <xf numFmtId="165" fontId="12" fillId="0" borderId="0" xfId="0" applyNumberFormat="1" applyFont="1" applyAlignment="1" applyProtection="1">
      <alignment horizontal="right" wrapText="1"/>
    </xf>
    <xf numFmtId="165" fontId="12" fillId="3" borderId="0" xfId="0" applyNumberFormat="1" applyFont="1" applyFill="1" applyAlignment="1" applyProtection="1">
      <alignment horizontal="right" wrapText="1"/>
    </xf>
    <xf numFmtId="165" fontId="12" fillId="0" borderId="0" xfId="0" applyNumberFormat="1" applyFont="1" applyAlignment="1" applyProtection="1">
      <alignment horizontal="center" wrapText="1"/>
    </xf>
    <xf numFmtId="171" fontId="1" fillId="0" borderId="0" xfId="3" applyNumberFormat="1" applyFont="1" applyProtection="1"/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E26"/>
  <sheetViews>
    <sheetView tabSelected="1" zoomScale="85" workbookViewId="0">
      <pane xSplit="5" ySplit="1" topLeftCell="F2" activePane="bottomRight" state="frozen"/>
      <selection activeCell="S8" sqref="S8"/>
      <selection pane="topRight"/>
      <selection pane="bottomLeft"/>
      <selection pane="bottomRight" activeCell="H12" sqref="H12"/>
    </sheetView>
  </sheetViews>
  <sheetFormatPr defaultColWidth="11.5703125" defaultRowHeight="12.75" x14ac:dyDescent="0.2"/>
  <cols>
    <col min="1" max="1" width="25.7109375" style="1" customWidth="1"/>
    <col min="2" max="2" width="17.28515625" style="2" bestFit="1" customWidth="1"/>
    <col min="3" max="3" width="40.42578125" style="2" customWidth="1"/>
    <col min="4" max="4" width="11.7109375" style="3" customWidth="1"/>
    <col min="5" max="5" width="10.85546875" style="4" customWidth="1"/>
    <col min="6" max="6" width="10.42578125" style="5" customWidth="1"/>
    <col min="7" max="7" width="10.7109375" style="6" customWidth="1"/>
    <col min="8" max="8" width="15.28515625" style="6" customWidth="1"/>
    <col min="9" max="9" width="16.42578125" style="7" customWidth="1"/>
    <col min="10" max="10" width="11.5703125" style="5"/>
    <col min="11" max="11" width="11.5703125" style="7"/>
    <col min="12" max="12" width="12.5703125" style="5" customWidth="1"/>
    <col min="13" max="13" width="18.5703125" style="5" customWidth="1"/>
    <col min="14" max="15" width="17.5703125" style="7" customWidth="1"/>
    <col min="16" max="16" width="14.140625" style="7" customWidth="1"/>
    <col min="17" max="17" width="21.5703125" style="7" customWidth="1"/>
    <col min="18" max="18" width="14.7109375" style="5" customWidth="1"/>
    <col min="19" max="19" width="17.5703125" style="5" customWidth="1"/>
    <col min="20" max="20" width="17" style="5" customWidth="1"/>
    <col min="21" max="21" width="34.42578125" style="5" customWidth="1"/>
    <col min="22" max="22" width="28" style="5" customWidth="1"/>
    <col min="23" max="23" width="15.7109375" style="5" customWidth="1"/>
    <col min="24" max="24" width="11.5703125" style="5"/>
    <col min="25" max="25" width="44.140625" style="5" customWidth="1"/>
    <col min="26" max="1017" width="11.5703125" style="5"/>
    <col min="1018" max="1019" width="11.5703125" style="8"/>
  </cols>
  <sheetData>
    <row r="1" spans="1:1019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  <c r="G1" s="10" t="s">
        <v>6</v>
      </c>
      <c r="H1" s="10" t="s">
        <v>7</v>
      </c>
      <c r="I1" s="13" t="s">
        <v>8</v>
      </c>
      <c r="J1" s="14" t="s">
        <v>9</v>
      </c>
      <c r="K1" s="11" t="s">
        <v>10</v>
      </c>
      <c r="L1" s="15" t="s">
        <v>11</v>
      </c>
      <c r="M1" s="16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0" t="s">
        <v>20</v>
      </c>
      <c r="V1" s="20" t="s">
        <v>21</v>
      </c>
      <c r="W1" s="21"/>
      <c r="X1" s="21"/>
      <c r="Y1" s="21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</row>
    <row r="2" spans="1:1019" ht="47.25" x14ac:dyDescent="0.25">
      <c r="A2" s="23" t="s">
        <v>26</v>
      </c>
      <c r="B2" s="24" t="s">
        <v>24</v>
      </c>
      <c r="C2" s="25" t="s">
        <v>25</v>
      </c>
      <c r="D2" s="26">
        <v>1</v>
      </c>
      <c r="E2" s="26">
        <v>24360</v>
      </c>
      <c r="F2" s="26">
        <v>12</v>
      </c>
      <c r="G2" s="26">
        <f t="shared" ref="G2" si="0">E2/F2</f>
        <v>2030</v>
      </c>
      <c r="H2" s="27">
        <v>5.9</v>
      </c>
      <c r="I2" s="27">
        <f t="shared" ref="I2" si="1">H2*E2</f>
        <v>143724</v>
      </c>
      <c r="J2" s="28">
        <f>D2*E2*0.97</f>
        <v>23629.200000000001</v>
      </c>
      <c r="K2" s="24">
        <v>77.105199999999996</v>
      </c>
      <c r="L2" s="29">
        <f t="shared" ref="L2" si="2">H2*K2*1.0425</f>
        <v>474.2548089</v>
      </c>
      <c r="M2" s="29">
        <f>$M$6/$I$4*I2</f>
        <v>11081867.764799999</v>
      </c>
      <c r="N2" s="29">
        <f>$N$6/$I$4*I2</f>
        <v>3324560.3294399995</v>
      </c>
      <c r="O2" s="29">
        <f>$O$6/$J$4*J2</f>
        <v>1798611.111111111</v>
      </c>
      <c r="P2" s="29">
        <f>$P$6/$J$4*J2</f>
        <v>23333.333333333332</v>
      </c>
      <c r="Q2" s="29">
        <f t="shared" ref="Q2" si="3">M2+N2+O2+P2</f>
        <v>16228372.538684445</v>
      </c>
      <c r="R2" s="30">
        <f>SUM(Q2/E2)</f>
        <v>666.18934887867181</v>
      </c>
      <c r="S2" s="31">
        <v>815</v>
      </c>
      <c r="T2" s="32">
        <f>(S2-R2)/R2</f>
        <v>0.22337590862388584</v>
      </c>
      <c r="U2" s="33">
        <f>S2*E2</f>
        <v>19853400</v>
      </c>
      <c r="V2" s="33">
        <f t="shared" ref="V2" si="4">R2*E2</f>
        <v>16228372.538684445</v>
      </c>
      <c r="W2" s="21"/>
      <c r="X2" s="21"/>
      <c r="Y2" s="21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</row>
    <row r="3" spans="1:1019" ht="15.75" x14ac:dyDescent="0.25">
      <c r="A3" s="34"/>
      <c r="B3" s="35"/>
      <c r="C3" s="35"/>
      <c r="D3" s="36"/>
      <c r="E3" s="37"/>
      <c r="F3" s="21"/>
      <c r="G3" s="38"/>
      <c r="H3" s="38"/>
      <c r="I3" s="39"/>
      <c r="J3" s="21"/>
      <c r="K3" s="40"/>
      <c r="L3" s="20"/>
      <c r="M3" s="20"/>
      <c r="N3" s="20"/>
      <c r="O3" s="20"/>
      <c r="P3" s="20"/>
      <c r="Q3" s="20"/>
      <c r="R3" s="20"/>
      <c r="S3" s="21"/>
      <c r="T3" s="21"/>
      <c r="U3" s="41">
        <f>SUM(U2:U2)</f>
        <v>19853400</v>
      </c>
      <c r="V3" s="41">
        <f>SUM(V2:V2)</f>
        <v>16228372.538684445</v>
      </c>
      <c r="W3" s="21"/>
      <c r="X3" s="21"/>
      <c r="Y3" s="21"/>
    </row>
    <row r="4" spans="1:1019" ht="15.75" x14ac:dyDescent="0.25">
      <c r="A4" s="34"/>
      <c r="B4" s="35"/>
      <c r="C4" s="35"/>
      <c r="D4" s="36"/>
      <c r="E4" s="42">
        <f>SUM(E2:E3)</f>
        <v>24360</v>
      </c>
      <c r="F4" s="43"/>
      <c r="G4" s="42">
        <f>SUM(G2:G3)</f>
        <v>2030</v>
      </c>
      <c r="H4" s="43"/>
      <c r="I4" s="44">
        <f>SUMIF(I2:I2,"&lt;&gt;#ДЕЛ/0!")</f>
        <v>143724</v>
      </c>
      <c r="J4" s="45">
        <f>((SUM(J2:J2)/700)*20)+(SUM(J2:J2))</f>
        <v>24304.32</v>
      </c>
      <c r="L4" s="7"/>
      <c r="M4" s="46">
        <f>SUMIF(M2:M2,"&lt;&gt;#ДЕЛ/0!")</f>
        <v>11081867.764799999</v>
      </c>
      <c r="N4" s="46">
        <f>SUMIF(N2:N2,"&lt;&gt;#ДЕЛ/0!")</f>
        <v>3324560.3294399995</v>
      </c>
      <c r="O4" s="46">
        <f>SUMIF(O2:O2,"&lt;&gt;#ДЕЛ/0!")</f>
        <v>1798611.111111111</v>
      </c>
      <c r="P4" s="46">
        <f>SUMIF(P2:P2,"&lt;&gt;#ДЕЛ/0!")</f>
        <v>23333.333333333332</v>
      </c>
      <c r="Q4" s="46">
        <f>SUMIF(Q2:Q2,"&lt;&gt;#ДЕЛ/0!")</f>
        <v>16228372.538684445</v>
      </c>
      <c r="R4" s="47"/>
      <c r="S4" s="21"/>
      <c r="V4" s="21"/>
      <c r="W4" s="21"/>
      <c r="X4" s="21"/>
      <c r="Y4" s="21"/>
      <c r="AMD4" s="5"/>
      <c r="AME4" s="5"/>
    </row>
    <row r="5" spans="1:1019" ht="15" x14ac:dyDescent="0.25">
      <c r="I5" s="6"/>
      <c r="J5" s="6"/>
      <c r="L5" s="7"/>
      <c r="M5" s="48" t="s">
        <v>22</v>
      </c>
      <c r="N5" s="48" t="s">
        <v>22</v>
      </c>
      <c r="O5" s="48" t="s">
        <v>22</v>
      </c>
      <c r="P5" s="48" t="s">
        <v>22</v>
      </c>
      <c r="Q5" s="49"/>
      <c r="U5" s="50" t="s">
        <v>23</v>
      </c>
      <c r="V5" s="51">
        <f>(U3-V3)/V3</f>
        <v>0.2233759086238859</v>
      </c>
    </row>
    <row r="6" spans="1:1019" ht="15.75" x14ac:dyDescent="0.25">
      <c r="I6" s="6"/>
      <c r="J6" s="6"/>
      <c r="M6" s="52">
        <f>I4*K2</f>
        <v>11081867.764799999</v>
      </c>
      <c r="N6" s="53">
        <f>M6*0.3</f>
        <v>3324560.3294399995</v>
      </c>
      <c r="O6" s="54">
        <v>1850000</v>
      </c>
      <c r="P6" s="54">
        <v>24000</v>
      </c>
      <c r="Q6" s="52">
        <f>M6+N6+O6+P6</f>
        <v>16280428.094239999</v>
      </c>
      <c r="U6" s="41">
        <f>U3-V3</f>
        <v>3625027.4613155555</v>
      </c>
    </row>
    <row r="7" spans="1:1019" x14ac:dyDescent="0.2">
      <c r="I7" s="6"/>
      <c r="J7" s="6"/>
      <c r="K7" s="5"/>
      <c r="N7" s="5"/>
      <c r="O7" s="5"/>
      <c r="P7" s="5"/>
      <c r="Q7" s="5"/>
    </row>
    <row r="8" spans="1:1019" x14ac:dyDescent="0.2">
      <c r="I8" s="6"/>
      <c r="J8" s="6"/>
      <c r="K8" s="5"/>
      <c r="N8" s="5"/>
      <c r="O8" s="5"/>
      <c r="P8" s="5"/>
      <c r="Q8" s="5"/>
    </row>
    <row r="9" spans="1:1019" x14ac:dyDescent="0.2">
      <c r="I9" s="6"/>
      <c r="J9" s="6"/>
      <c r="K9" s="5"/>
      <c r="N9" s="5"/>
      <c r="O9" s="5"/>
      <c r="P9" s="5"/>
      <c r="Q9" s="5"/>
    </row>
    <row r="10" spans="1:1019" x14ac:dyDescent="0.2">
      <c r="I10" s="6"/>
      <c r="J10" s="6"/>
      <c r="K10" s="5"/>
      <c r="N10" s="55"/>
      <c r="O10" s="5"/>
      <c r="P10" s="5"/>
      <c r="Q10" s="5"/>
    </row>
    <row r="11" spans="1:1019" x14ac:dyDescent="0.2">
      <c r="I11" s="6"/>
      <c r="J11" s="6"/>
      <c r="K11" s="5"/>
      <c r="N11" s="5"/>
      <c r="O11" s="5"/>
      <c r="P11" s="5"/>
      <c r="Q11" s="5"/>
    </row>
    <row r="12" spans="1:1019" x14ac:dyDescent="0.2">
      <c r="K12" s="5"/>
      <c r="N12" s="5"/>
      <c r="O12" s="5"/>
      <c r="P12" s="5"/>
      <c r="Q12" s="5"/>
    </row>
    <row r="13" spans="1:1019" x14ac:dyDescent="0.2">
      <c r="K13" s="5"/>
      <c r="N13" s="5"/>
      <c r="O13" s="5"/>
      <c r="P13" s="5"/>
      <c r="Q13" s="5"/>
    </row>
    <row r="14" spans="1:1019" x14ac:dyDescent="0.2">
      <c r="K14" s="5"/>
      <c r="N14" s="5"/>
      <c r="O14" s="5"/>
      <c r="P14" s="5"/>
      <c r="Q14" s="5"/>
    </row>
    <row r="15" spans="1:1019" x14ac:dyDescent="0.2">
      <c r="K15" s="5"/>
      <c r="N15" s="5"/>
      <c r="O15" s="5"/>
      <c r="P15" s="5"/>
      <c r="Q15" s="5"/>
    </row>
    <row r="16" spans="1:1019" x14ac:dyDescent="0.2">
      <c r="E16" s="4">
        <f>E4-24360</f>
        <v>0</v>
      </c>
      <c r="K16" s="5"/>
      <c r="N16" s="5"/>
      <c r="O16" s="5"/>
      <c r="P16" s="5"/>
      <c r="Q16" s="5"/>
    </row>
    <row r="17" spans="11:17" x14ac:dyDescent="0.2">
      <c r="K17" s="5"/>
      <c r="N17" s="5"/>
      <c r="O17" s="5"/>
      <c r="P17" s="5"/>
      <c r="Q17" s="5"/>
    </row>
    <row r="18" spans="11:17" x14ac:dyDescent="0.2">
      <c r="K18" s="5"/>
      <c r="N18" s="5"/>
      <c r="O18" s="5"/>
      <c r="P18" s="5"/>
      <c r="Q18" s="5"/>
    </row>
    <row r="19" spans="11:17" x14ac:dyDescent="0.2">
      <c r="K19" s="5"/>
      <c r="N19" s="5"/>
      <c r="O19" s="5"/>
      <c r="P19" s="5"/>
      <c r="Q19" s="5"/>
    </row>
    <row r="20" spans="11:17" x14ac:dyDescent="0.2">
      <c r="K20" s="5"/>
      <c r="N20" s="5"/>
      <c r="O20" s="5"/>
      <c r="P20" s="5"/>
      <c r="Q20" s="5"/>
    </row>
    <row r="21" spans="11:17" x14ac:dyDescent="0.2">
      <c r="K21" s="5"/>
      <c r="N21" s="5"/>
      <c r="O21" s="5"/>
      <c r="P21" s="5"/>
      <c r="Q21" s="5"/>
    </row>
    <row r="22" spans="11:17" x14ac:dyDescent="0.2">
      <c r="K22" s="5"/>
      <c r="N22" s="5"/>
      <c r="O22" s="5"/>
      <c r="P22" s="5"/>
      <c r="Q22" s="5"/>
    </row>
    <row r="23" spans="11:17" x14ac:dyDescent="0.2">
      <c r="K23" s="5"/>
      <c r="N23" s="5"/>
      <c r="O23" s="5"/>
      <c r="P23" s="5"/>
      <c r="Q23" s="5"/>
    </row>
    <row r="24" spans="11:17" x14ac:dyDescent="0.2">
      <c r="K24" s="5"/>
      <c r="N24" s="5"/>
      <c r="O24" s="5"/>
      <c r="P24" s="5"/>
      <c r="Q24" s="5"/>
    </row>
    <row r="25" spans="11:17" x14ac:dyDescent="0.2">
      <c r="K25" s="5"/>
      <c r="N25" s="5"/>
      <c r="O25" s="5"/>
      <c r="P25" s="5"/>
      <c r="Q25" s="5"/>
    </row>
    <row r="26" spans="11:17" x14ac:dyDescent="0.2">
      <c r="K26" s="5"/>
      <c r="N26" s="5"/>
      <c r="O26" s="5"/>
      <c r="P26" s="5"/>
      <c r="Q26" s="5"/>
    </row>
  </sheetData>
  <conditionalFormatting sqref="T6:T1048576 T1 T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61</cp:revision>
  <dcterms:created xsi:type="dcterms:W3CDTF">2024-10-07T18:09:28Z</dcterms:created>
  <dcterms:modified xsi:type="dcterms:W3CDTF">2026-07-22T19:32:03Z</dcterms:modified>
  <dc:language>ru-RU</dc:language>
</cp:coreProperties>
</file>