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zinov\OneDrive\Desktop\РАБОЧАЯ\001 ИМПОРТ\001 containers\2026\001 UAE\UAE#9\"/>
    </mc:Choice>
  </mc:AlternateContent>
  <xr:revisionPtr revIDLastSave="0" documentId="13_ncr:1_{F453691C-D85E-4996-A5DE-7160CA410AA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ФПЗ_Э9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" i="1" l="1"/>
  <c r="J4" i="1"/>
  <c r="E2" i="1"/>
  <c r="U2" i="1" l="1"/>
  <c r="L2" i="1"/>
  <c r="I2" i="1"/>
  <c r="I4" i="1" s="1"/>
  <c r="M6" i="1" s="1"/>
  <c r="G2" i="1"/>
  <c r="N6" i="1" l="1"/>
  <c r="Q6" i="1" s="1"/>
  <c r="G4" i="1"/>
  <c r="E4" i="1"/>
  <c r="P2" i="1"/>
  <c r="O2" i="1"/>
  <c r="M2" i="1"/>
  <c r="U3" i="1"/>
  <c r="N2" i="1" l="1"/>
  <c r="N4" i="1" s="1"/>
  <c r="P4" i="1"/>
  <c r="O4" i="1"/>
  <c r="M4" i="1"/>
  <c r="Q2" i="1" l="1"/>
  <c r="R2" i="1" s="1"/>
  <c r="Q4" i="1" l="1"/>
  <c r="V2" i="1"/>
  <c r="V3" i="1" s="1"/>
  <c r="U6" i="1" s="1"/>
  <c r="T2" i="1"/>
  <c r="V5" i="1" l="1"/>
</calcChain>
</file>

<file path=xl/sharedStrings.xml><?xml version="1.0" encoding="utf-8"?>
<sst xmlns="http://schemas.openxmlformats.org/spreadsheetml/2006/main" count="30" uniqueCount="27">
  <si>
    <t xml:space="preserve">
Артикул</t>
  </si>
  <si>
    <t>Производитель</t>
  </si>
  <si>
    <t>Наименование</t>
  </si>
  <si>
    <t>Литраж</t>
  </si>
  <si>
    <t>Заказ</t>
  </si>
  <si>
    <t>Кол-во в кор</t>
  </si>
  <si>
    <t>Итого кор</t>
  </si>
  <si>
    <t>Цена за ШТ (Закупка в валюте поставщика)</t>
  </si>
  <si>
    <t>Итого за позицию</t>
  </si>
  <si>
    <t>Вес брутто ИТОГО</t>
  </si>
  <si>
    <t>Курс валюты</t>
  </si>
  <si>
    <t>Цена в рублях по Инвойсу Поставщика</t>
  </si>
  <si>
    <t xml:space="preserve">Сумма  за товар в руюлях </t>
  </si>
  <si>
    <t xml:space="preserve">Таможня </t>
  </si>
  <si>
    <t>Доставка</t>
  </si>
  <si>
    <t>Услуги брокеров</t>
  </si>
  <si>
    <t>Общая сумма закупа + ТО и доставка</t>
  </si>
  <si>
    <t>себестоимость за шт</t>
  </si>
  <si>
    <t>Дистриб</t>
  </si>
  <si>
    <t>рентабельность</t>
  </si>
  <si>
    <t>Сумма реализации</t>
  </si>
  <si>
    <t>Стоимость ящика закуп</t>
  </si>
  <si>
    <t>введите</t>
  </si>
  <si>
    <t xml:space="preserve">Ожидаемый % рент. </t>
  </si>
  <si>
    <t>BMW</t>
  </si>
  <si>
    <t>0450000115|Масло трансмиссионное ATF|Hyundai-KIA|SP-IV|Синтетическое|ОАЭ|12x1л</t>
  </si>
  <si>
    <t>0450000115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</si>
</sst>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"/>
    <numFmt numFmtId="165" formatCode="#,##0.00&quot; ₽&quot;"/>
    <numFmt numFmtId="166" formatCode="0.0000"/>
    <numFmt numFmtId="167" formatCode="_-[$$-1009]* #,##0.00_-;\-[$$-1009]* #,##0.00_-;_-[$$-1009]* \-??_-;_-@_-"/>
    <numFmt numFmtId="168" formatCode="#,##0.00\ [$₽-419]"/>
    <numFmt numFmtId="169" formatCode="0.0%"/>
    <numFmt numFmtId="170" formatCode="#,##0.00\ [$₽-419];[Red]\-#,##0.00\ [$₽-419]"/>
    <numFmt numFmtId="171" formatCode="#,##0.0"/>
  </numFmts>
  <fonts count="13" x14ac:knownFonts="1">
    <font>
      <sz val="10"/>
      <color indexed="64"/>
      <name val="Arial"/>
    </font>
    <font>
      <sz val="10"/>
      <name val="Arial"/>
      <family val="2"/>
      <charset val="204"/>
    </font>
    <font>
      <sz val="10"/>
      <name val="Calibri Light"/>
      <family val="2"/>
      <charset val="204"/>
    </font>
    <font>
      <b/>
      <sz val="10"/>
      <color indexed="2"/>
      <name val="Calibri Light"/>
      <family val="2"/>
      <charset val="204"/>
    </font>
    <font>
      <b/>
      <sz val="10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color indexed="2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color rgb="FFC00000"/>
      <name val="Calibri Light"/>
      <family val="2"/>
      <charset val="204"/>
    </font>
    <font>
      <b/>
      <sz val="11"/>
      <name val="Calibri Light"/>
      <family val="2"/>
      <charset val="204"/>
    </font>
    <font>
      <sz val="11"/>
      <color rgb="FFC9211E"/>
      <name val="Calibri Light"/>
      <family val="2"/>
      <charset val="204"/>
    </font>
    <font>
      <b/>
      <sz val="10"/>
      <name val="Arial"/>
      <family val="2"/>
      <charset val="204"/>
    </font>
    <font>
      <b/>
      <sz val="12"/>
      <color rgb="FF00A933"/>
      <name val="Calibri Light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D7D7"/>
        <bgColor rgb="FFDDDDDD"/>
      </patternFill>
    </fill>
    <fill>
      <patternFill patternType="solid">
        <fgColor indexed="65"/>
        <bgColor indexed="26"/>
      </patternFill>
    </fill>
    <fill>
      <patternFill patternType="solid">
        <fgColor rgb="FFED7D31"/>
        <bgColor indexed="29"/>
      </patternFill>
    </fill>
    <fill>
      <patternFill patternType="solid">
        <fgColor indexed="5"/>
        <bgColor indexed="5"/>
      </patternFill>
    </fill>
    <fill>
      <patternFill patternType="solid">
        <fgColor rgb="FF81D41A"/>
        <bgColor indexed="55"/>
      </patternFill>
    </fill>
    <fill>
      <patternFill patternType="solid">
        <fgColor rgb="FFDDDDDD"/>
        <bgColor rgb="FFFFD7D7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9" fontId="1" fillId="0" borderId="0" applyBorder="0" applyProtection="0"/>
  </cellStyleXfs>
  <cellXfs count="56">
    <xf numFmtId="0" fontId="0" fillId="0" borderId="0" xfId="0"/>
    <xf numFmtId="49" fontId="2" fillId="0" borderId="0" xfId="0" applyNumberFormat="1" applyFont="1" applyAlignment="1" applyProtection="1">
      <alignment vertical="center" wrapText="1"/>
    </xf>
    <xf numFmtId="1" fontId="2" fillId="0" borderId="0" xfId="0" applyNumberFormat="1" applyFont="1" applyAlignment="1" applyProtection="1">
      <alignment horizontal="left" vertical="center" wrapText="1"/>
    </xf>
    <xf numFmtId="2" fontId="2" fillId="0" borderId="0" xfId="0" applyNumberFormat="1" applyFont="1" applyAlignment="1" applyProtection="1">
      <alignment horizontal="left" vertical="center" wrapText="1"/>
    </xf>
    <xf numFmtId="1" fontId="3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wrapText="1"/>
    </xf>
    <xf numFmtId="1" fontId="4" fillId="0" borderId="0" xfId="0" applyNumberFormat="1" applyFont="1" applyAlignment="1" applyProtection="1">
      <alignment horizontal="center" wrapText="1"/>
    </xf>
    <xf numFmtId="2" fontId="2" fillId="0" borderId="0" xfId="0" applyNumberFormat="1" applyFont="1" applyAlignment="1" applyProtection="1">
      <alignment horizontal="center" wrapText="1"/>
    </xf>
    <xf numFmtId="0" fontId="2" fillId="0" borderId="0" xfId="0" applyFont="1" applyProtection="1"/>
    <xf numFmtId="49" fontId="5" fillId="2" borderId="1" xfId="0" applyNumberFormat="1" applyFont="1" applyFill="1" applyBorder="1" applyAlignment="1" applyProtection="1">
      <alignment horizontal="center" vertical="center" wrapText="1"/>
    </xf>
    <xf numFmtId="1" fontId="5" fillId="2" borderId="1" xfId="0" applyNumberFormat="1" applyFont="1" applyFill="1" applyBorder="1" applyAlignment="1" applyProtection="1">
      <alignment horizontal="center" vertical="center" wrapText="1"/>
    </xf>
    <xf numFmtId="2" fontId="5" fillId="2" borderId="1" xfId="0" applyNumberFormat="1" applyFont="1" applyFill="1" applyBorder="1" applyAlignment="1" applyProtection="1">
      <alignment horizontal="center" vertical="center" wrapText="1"/>
    </xf>
    <xf numFmtId="1" fontId="6" fillId="2" borderId="1" xfId="0" applyNumberFormat="1" applyFont="1" applyFill="1" applyBorder="1" applyAlignment="1" applyProtection="1">
      <alignment horizontal="center" vertical="center" wrapText="1"/>
    </xf>
    <xf numFmtId="2" fontId="5" fillId="2" borderId="2" xfId="0" applyNumberFormat="1" applyFont="1" applyFill="1" applyBorder="1" applyAlignment="1" applyProtection="1">
      <alignment horizontal="center" vertical="center" wrapText="1"/>
    </xf>
    <xf numFmtId="164" fontId="5" fillId="2" borderId="1" xfId="0" applyNumberFormat="1" applyFont="1" applyFill="1" applyBorder="1" applyAlignment="1" applyProtection="1">
      <alignment horizontal="center" vertical="center" wrapText="1"/>
    </xf>
    <xf numFmtId="165" fontId="5" fillId="3" borderId="1" xfId="0" applyNumberFormat="1" applyFont="1" applyFill="1" applyBorder="1" applyAlignment="1" applyProtection="1">
      <alignment horizontal="center" vertical="center" wrapText="1"/>
    </xf>
    <xf numFmtId="165" fontId="5" fillId="0" borderId="3" xfId="0" applyNumberFormat="1" applyFont="1" applyBorder="1" applyAlignment="1" applyProtection="1">
      <alignment horizontal="center" vertical="center" wrapText="1"/>
    </xf>
    <xf numFmtId="2" fontId="5" fillId="3" borderId="1" xfId="0" applyNumberFormat="1" applyFont="1" applyFill="1" applyBorder="1" applyAlignment="1" applyProtection="1">
      <alignment horizontal="center" vertical="center" wrapText="1"/>
    </xf>
    <xf numFmtId="1" fontId="6" fillId="0" borderId="1" xfId="0" applyNumberFormat="1" applyFont="1" applyBorder="1" applyAlignment="1" applyProtection="1">
      <alignment horizontal="center" vertical="center" wrapText="1"/>
    </xf>
    <xf numFmtId="1" fontId="5" fillId="4" borderId="1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vertical="center" wrapText="1"/>
    </xf>
    <xf numFmtId="49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left" vertical="center" wrapText="1"/>
    </xf>
    <xf numFmtId="4" fontId="7" fillId="0" borderId="4" xfId="0" applyNumberFormat="1" applyFont="1" applyBorder="1" applyAlignment="1" applyProtection="1">
      <alignment horizontal="center" vertical="center" wrapText="1"/>
    </xf>
    <xf numFmtId="167" fontId="7" fillId="0" borderId="2" xfId="2" applyNumberFormat="1" applyFont="1" applyBorder="1" applyAlignment="1" applyProtection="1">
      <alignment horizontal="right" vertical="center"/>
    </xf>
    <xf numFmtId="1" fontId="7" fillId="5" borderId="4" xfId="0" applyNumberFormat="1" applyFont="1" applyFill="1" applyBorder="1" applyAlignment="1" applyProtection="1">
      <alignment horizontal="center" vertical="center" wrapText="1"/>
    </xf>
    <xf numFmtId="168" fontId="7" fillId="0" borderId="4" xfId="0" applyNumberFormat="1" applyFont="1" applyBorder="1" applyAlignment="1" applyProtection="1">
      <alignment horizontal="right" vertical="center" wrapText="1"/>
    </xf>
    <xf numFmtId="168" fontId="6" fillId="0" borderId="4" xfId="0" applyNumberFormat="1" applyFont="1" applyBorder="1" applyAlignment="1" applyProtection="1">
      <alignment horizontal="right" vertical="center" wrapText="1"/>
    </xf>
    <xf numFmtId="1" fontId="7" fillId="4" borderId="4" xfId="0" applyNumberFormat="1" applyFont="1" applyFill="1" applyBorder="1" applyAlignment="1" applyProtection="1">
      <alignment horizontal="center" vertical="center" wrapText="1"/>
    </xf>
    <xf numFmtId="169" fontId="1" fillId="0" borderId="4" xfId="3" applyNumberFormat="1" applyFont="1" applyBorder="1" applyProtection="1"/>
    <xf numFmtId="165" fontId="7" fillId="0" borderId="4" xfId="0" applyNumberFormat="1" applyFont="1" applyBorder="1" applyAlignment="1" applyProtection="1">
      <alignment horizontal="right" vertical="center" wrapText="1"/>
    </xf>
    <xf numFmtId="49" fontId="7" fillId="0" borderId="0" xfId="0" applyNumberFormat="1" applyFont="1" applyAlignment="1" applyProtection="1">
      <alignment vertical="center" wrapText="1"/>
    </xf>
    <xf numFmtId="1" fontId="7" fillId="0" borderId="0" xfId="0" applyNumberFormat="1" applyFont="1" applyAlignment="1" applyProtection="1">
      <alignment horizontal="left" vertical="center" wrapText="1"/>
    </xf>
    <xf numFmtId="2" fontId="7" fillId="0" borderId="0" xfId="0" applyNumberFormat="1" applyFont="1" applyAlignment="1" applyProtection="1">
      <alignment horizontal="left" vertical="center" wrapText="1"/>
    </xf>
    <xf numFmtId="1" fontId="6" fillId="0" borderId="0" xfId="0" applyNumberFormat="1" applyFont="1" applyAlignment="1" applyProtection="1">
      <alignment horizontal="center" wrapText="1"/>
    </xf>
    <xf numFmtId="1" fontId="5" fillId="0" borderId="0" xfId="0" applyNumberFormat="1" applyFont="1" applyAlignment="1" applyProtection="1">
      <alignment horizontal="center" wrapText="1"/>
    </xf>
    <xf numFmtId="167" fontId="7" fillId="0" borderId="0" xfId="0" applyNumberFormat="1" applyFont="1" applyAlignment="1" applyProtection="1">
      <alignment horizontal="center" wrapText="1"/>
    </xf>
    <xf numFmtId="2" fontId="7" fillId="0" borderId="0" xfId="0" applyNumberFormat="1" applyFont="1" applyAlignment="1" applyProtection="1">
      <alignment horizontal="center" wrapText="1"/>
    </xf>
    <xf numFmtId="165" fontId="5" fillId="0" borderId="4" xfId="0" applyNumberFormat="1" applyFont="1" applyBorder="1" applyAlignment="1" applyProtection="1">
      <alignment horizontal="right" vertical="center" wrapText="1"/>
    </xf>
    <xf numFmtId="1" fontId="5" fillId="6" borderId="0" xfId="0" applyNumberFormat="1" applyFont="1" applyFill="1" applyAlignment="1" applyProtection="1">
      <alignment horizontal="center" wrapText="1"/>
    </xf>
    <xf numFmtId="1" fontId="8" fillId="0" borderId="0" xfId="0" applyNumberFormat="1" applyFont="1" applyAlignment="1" applyProtection="1">
      <alignment horizontal="center" wrapText="1"/>
    </xf>
    <xf numFmtId="167" fontId="9" fillId="6" borderId="0" xfId="0" applyNumberFormat="1" applyFont="1" applyFill="1" applyProtection="1"/>
    <xf numFmtId="1" fontId="8" fillId="5" borderId="0" xfId="0" applyNumberFormat="1" applyFont="1" applyFill="1" applyAlignment="1" applyProtection="1">
      <alignment horizontal="center" wrapText="1"/>
    </xf>
    <xf numFmtId="170" fontId="9" fillId="7" borderId="0" xfId="0" applyNumberFormat="1" applyFont="1" applyFill="1" applyProtection="1"/>
    <xf numFmtId="9" fontId="0" fillId="0" borderId="0" xfId="3" applyNumberFormat="1" applyFont="1" applyAlignment="1" applyProtection="1">
      <alignment horizontal="center" wrapText="1"/>
    </xf>
    <xf numFmtId="0" fontId="10" fillId="7" borderId="0" xfId="0" applyFont="1" applyFill="1" applyAlignment="1" applyProtection="1">
      <alignment horizontal="center"/>
    </xf>
    <xf numFmtId="0" fontId="0" fillId="0" borderId="0" xfId="0" applyProtection="1"/>
    <xf numFmtId="0" fontId="11" fillId="0" borderId="2" xfId="0" applyFont="1" applyBorder="1"/>
    <xf numFmtId="10" fontId="11" fillId="0" borderId="2" xfId="3" applyNumberFormat="1" applyFont="1" applyBorder="1" applyProtection="1"/>
    <xf numFmtId="165" fontId="12" fillId="0" borderId="0" xfId="0" applyNumberFormat="1" applyFont="1" applyAlignment="1" applyProtection="1">
      <alignment horizontal="right" wrapText="1"/>
    </xf>
    <xf numFmtId="165" fontId="12" fillId="3" borderId="0" xfId="0" applyNumberFormat="1" applyFont="1" applyFill="1" applyAlignment="1" applyProtection="1">
      <alignment horizontal="right" wrapText="1"/>
    </xf>
    <xf numFmtId="165" fontId="12" fillId="0" borderId="0" xfId="0" applyNumberFormat="1" applyFont="1" applyAlignment="1" applyProtection="1">
      <alignment horizontal="center" wrapText="1"/>
    </xf>
    <xf numFmtId="171" fontId="1" fillId="0" borderId="0" xfId="3" applyNumberFormat="1" applyFont="1" applyProtection="1"/>
  </cellXfs>
  <cellStyles count="4">
    <cellStyle name="Normal" xfId="0" builtinId="0"/>
    <cellStyle name="Normal 2" xfId="1" xr:uid="{00000000-0005-0000-0000-000000000000}"/>
    <cellStyle name="Percent" xfId="3" builtinId="5"/>
    <cellStyle name="Обычный 8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E26"/>
  <sheetViews>
    <sheetView tabSelected="1" zoomScale="85" workbookViewId="0">
      <pane xSplit="5" ySplit="1" topLeftCell="F2" activePane="bottomRight" state="frozen"/>
      <selection activeCell="S8" sqref="S8"/>
      <selection pane="topRight"/>
      <selection pane="bottomLeft"/>
      <selection pane="bottomRight" sqref="A1:H2"/>
    </sheetView>
  </sheetViews>
  <sheetFormatPr defaultColWidth="11.5703125" defaultRowHeight="12.75" x14ac:dyDescent="0.2"/>
  <cols>
    <col min="1" max="1" width="25.7109375" style="1" customWidth="1"/>
    <col min="2" max="2" width="17.28515625" style="2" bestFit="1" customWidth="1"/>
    <col min="3" max="3" width="40.42578125" style="2" customWidth="1"/>
    <col min="4" max="4" width="11.7109375" style="3" customWidth="1"/>
    <col min="5" max="5" width="10.85546875" style="4" customWidth="1"/>
    <col min="6" max="6" width="10.42578125" style="5" customWidth="1"/>
    <col min="7" max="7" width="10.7109375" style="6" customWidth="1"/>
    <col min="8" max="8" width="15.28515625" style="6" customWidth="1"/>
    <col min="9" max="9" width="16.42578125" style="7" customWidth="1"/>
    <col min="10" max="10" width="11.5703125" style="5"/>
    <col min="11" max="11" width="11.5703125" style="7"/>
    <col min="12" max="12" width="12.5703125" style="5" customWidth="1"/>
    <col min="13" max="13" width="18.5703125" style="5" customWidth="1"/>
    <col min="14" max="15" width="17.5703125" style="7" customWidth="1"/>
    <col min="16" max="16" width="14.140625" style="7" customWidth="1"/>
    <col min="17" max="17" width="21.5703125" style="7" customWidth="1"/>
    <col min="18" max="18" width="14.7109375" style="5" customWidth="1"/>
    <col min="19" max="19" width="17.5703125" style="5" customWidth="1"/>
    <col min="20" max="20" width="17" style="5" customWidth="1"/>
    <col min="21" max="21" width="34.42578125" style="5" customWidth="1"/>
    <col min="22" max="22" width="28" style="5" customWidth="1"/>
    <col min="23" max="23" width="15.7109375" style="5" customWidth="1"/>
    <col min="24" max="24" width="11.5703125" style="5"/>
    <col min="25" max="25" width="44.140625" style="5" customWidth="1"/>
    <col min="26" max="1017" width="11.5703125" style="5"/>
    <col min="1018" max="1019" width="11.5703125" style="8"/>
  </cols>
  <sheetData>
    <row r="1" spans="1:1019" ht="60.75" customHeight="1" x14ac:dyDescent="0.25">
      <c r="A1" s="9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0" t="s">
        <v>5</v>
      </c>
      <c r="G1" s="10" t="s">
        <v>6</v>
      </c>
      <c r="H1" s="10" t="s">
        <v>7</v>
      </c>
      <c r="I1" s="13" t="s">
        <v>8</v>
      </c>
      <c r="J1" s="14" t="s">
        <v>9</v>
      </c>
      <c r="K1" s="11" t="s">
        <v>10</v>
      </c>
      <c r="L1" s="15" t="s">
        <v>11</v>
      </c>
      <c r="M1" s="16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8" t="s">
        <v>17</v>
      </c>
      <c r="S1" s="19" t="s">
        <v>18</v>
      </c>
      <c r="T1" s="20" t="s">
        <v>19</v>
      </c>
      <c r="U1" s="20" t="s">
        <v>20</v>
      </c>
      <c r="V1" s="20" t="s">
        <v>21</v>
      </c>
      <c r="W1" s="21"/>
      <c r="X1" s="21"/>
      <c r="Y1" s="21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  <c r="EA1" s="22"/>
      <c r="EB1" s="22"/>
      <c r="EC1" s="22"/>
      <c r="ED1" s="22"/>
      <c r="EE1" s="22"/>
      <c r="EF1" s="22"/>
      <c r="EG1" s="22"/>
      <c r="EH1" s="22"/>
      <c r="EI1" s="22"/>
      <c r="EJ1" s="22"/>
      <c r="EK1" s="22"/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22"/>
      <c r="FK1" s="22"/>
      <c r="FL1" s="22"/>
      <c r="FM1" s="22"/>
      <c r="FN1" s="22"/>
      <c r="FO1" s="22"/>
      <c r="FP1" s="22"/>
      <c r="FQ1" s="22"/>
      <c r="FR1" s="22"/>
      <c r="FS1" s="22"/>
      <c r="FT1" s="22"/>
      <c r="FU1" s="22"/>
      <c r="FV1" s="22"/>
      <c r="FW1" s="22"/>
      <c r="FX1" s="22"/>
      <c r="FY1" s="22"/>
      <c r="FZ1" s="22"/>
      <c r="GA1" s="22"/>
      <c r="GB1" s="22"/>
      <c r="GC1" s="22"/>
      <c r="GD1" s="22"/>
      <c r="GE1" s="22"/>
      <c r="GF1" s="22"/>
      <c r="GG1" s="22"/>
      <c r="GH1" s="22"/>
      <c r="GI1" s="22"/>
      <c r="GJ1" s="22"/>
      <c r="GK1" s="22"/>
      <c r="GL1" s="22"/>
      <c r="GM1" s="22"/>
      <c r="GN1" s="22"/>
      <c r="GO1" s="22"/>
      <c r="GP1" s="22"/>
      <c r="GQ1" s="22"/>
      <c r="GR1" s="22"/>
      <c r="GS1" s="22"/>
      <c r="GT1" s="22"/>
      <c r="GU1" s="22"/>
      <c r="GV1" s="22"/>
      <c r="GW1" s="22"/>
      <c r="GX1" s="22"/>
      <c r="GY1" s="22"/>
      <c r="GZ1" s="22"/>
      <c r="HA1" s="22"/>
      <c r="HB1" s="22"/>
      <c r="HC1" s="22"/>
      <c r="HD1" s="22"/>
      <c r="HE1" s="22"/>
      <c r="HF1" s="22"/>
      <c r="HG1" s="22"/>
      <c r="HH1" s="22"/>
      <c r="HI1" s="22"/>
      <c r="HJ1" s="22"/>
      <c r="HK1" s="22"/>
      <c r="HL1" s="22"/>
      <c r="HM1" s="22"/>
      <c r="HN1" s="22"/>
      <c r="HO1" s="22"/>
      <c r="HP1" s="22"/>
      <c r="HQ1" s="22"/>
      <c r="HR1" s="22"/>
      <c r="HS1" s="22"/>
      <c r="HT1" s="22"/>
      <c r="HU1" s="22"/>
      <c r="HV1" s="22"/>
      <c r="HW1" s="22"/>
      <c r="HX1" s="22"/>
      <c r="HY1" s="22"/>
      <c r="HZ1" s="22"/>
      <c r="IA1" s="22"/>
      <c r="IB1" s="22"/>
      <c r="IC1" s="22"/>
      <c r="ID1" s="22"/>
      <c r="IE1" s="22"/>
      <c r="IF1" s="22"/>
      <c r="IG1" s="22"/>
      <c r="IH1" s="22"/>
      <c r="II1" s="22"/>
      <c r="IJ1" s="22"/>
      <c r="IK1" s="22"/>
      <c r="IL1" s="22"/>
      <c r="IM1" s="22"/>
      <c r="IN1" s="22"/>
      <c r="IO1" s="22"/>
      <c r="IP1" s="22"/>
      <c r="IQ1" s="22"/>
      <c r="IR1" s="22"/>
      <c r="IS1" s="22"/>
      <c r="IT1" s="22"/>
      <c r="IU1" s="22"/>
      <c r="IV1" s="22"/>
      <c r="IW1" s="22"/>
      <c r="IX1" s="22"/>
      <c r="IY1" s="22"/>
      <c r="IZ1" s="22"/>
      <c r="JA1" s="22"/>
      <c r="JB1" s="22"/>
      <c r="JC1" s="22"/>
      <c r="JD1" s="22"/>
      <c r="JE1" s="22"/>
      <c r="JF1" s="22"/>
      <c r="JG1" s="22"/>
      <c r="JH1" s="22"/>
      <c r="JI1" s="22"/>
      <c r="JJ1" s="22"/>
      <c r="JK1" s="22"/>
      <c r="JL1" s="22"/>
      <c r="JM1" s="22"/>
      <c r="JN1" s="22"/>
      <c r="JO1" s="22"/>
      <c r="JP1" s="22"/>
      <c r="JQ1" s="22"/>
      <c r="JR1" s="22"/>
      <c r="JS1" s="22"/>
      <c r="JT1" s="22"/>
      <c r="JU1" s="22"/>
      <c r="JV1" s="22"/>
      <c r="JW1" s="22"/>
      <c r="JX1" s="22"/>
      <c r="JY1" s="22"/>
      <c r="JZ1" s="22"/>
      <c r="KA1" s="22"/>
      <c r="KB1" s="22"/>
      <c r="KC1" s="22"/>
      <c r="KD1" s="22"/>
      <c r="KE1" s="22"/>
      <c r="KF1" s="22"/>
      <c r="KG1" s="22"/>
      <c r="KH1" s="22"/>
      <c r="KI1" s="22"/>
      <c r="KJ1" s="22"/>
      <c r="KK1" s="22"/>
      <c r="KL1" s="22"/>
      <c r="KM1" s="22"/>
      <c r="KN1" s="22"/>
      <c r="KO1" s="22"/>
      <c r="KP1" s="22"/>
      <c r="KQ1" s="22"/>
      <c r="KR1" s="22"/>
      <c r="KS1" s="22"/>
      <c r="KT1" s="22"/>
      <c r="KU1" s="22"/>
      <c r="KV1" s="22"/>
      <c r="KW1" s="22"/>
      <c r="KX1" s="22"/>
      <c r="KY1" s="22"/>
      <c r="KZ1" s="22"/>
      <c r="LA1" s="22"/>
      <c r="LB1" s="22"/>
      <c r="LC1" s="22"/>
      <c r="LD1" s="22"/>
      <c r="LE1" s="22"/>
      <c r="LF1" s="22"/>
      <c r="LG1" s="22"/>
      <c r="LH1" s="22"/>
      <c r="LI1" s="22"/>
      <c r="LJ1" s="22"/>
      <c r="LK1" s="22"/>
      <c r="LL1" s="22"/>
      <c r="LM1" s="22"/>
      <c r="LN1" s="22"/>
      <c r="LO1" s="22"/>
      <c r="LP1" s="22"/>
      <c r="LQ1" s="22"/>
      <c r="LR1" s="22"/>
      <c r="LS1" s="22"/>
      <c r="LT1" s="22"/>
      <c r="LU1" s="22"/>
      <c r="LV1" s="22"/>
      <c r="LW1" s="22"/>
      <c r="LX1" s="22"/>
      <c r="LY1" s="22"/>
      <c r="LZ1" s="22"/>
      <c r="MA1" s="22"/>
      <c r="MB1" s="22"/>
      <c r="MC1" s="22"/>
      <c r="MD1" s="22"/>
      <c r="ME1" s="22"/>
      <c r="MF1" s="22"/>
      <c r="MG1" s="22"/>
      <c r="MH1" s="22"/>
      <c r="MI1" s="22"/>
      <c r="MJ1" s="22"/>
      <c r="MK1" s="22"/>
      <c r="ML1" s="22"/>
      <c r="MM1" s="22"/>
      <c r="MN1" s="22"/>
      <c r="MO1" s="22"/>
      <c r="MP1" s="22"/>
      <c r="MQ1" s="22"/>
      <c r="MR1" s="22"/>
      <c r="MS1" s="22"/>
      <c r="MT1" s="22"/>
      <c r="MU1" s="22"/>
      <c r="MV1" s="22"/>
      <c r="MW1" s="22"/>
      <c r="MX1" s="22"/>
      <c r="MY1" s="22"/>
      <c r="MZ1" s="22"/>
      <c r="NA1" s="22"/>
      <c r="NB1" s="22"/>
      <c r="NC1" s="22"/>
      <c r="ND1" s="22"/>
      <c r="NE1" s="22"/>
      <c r="NF1" s="22"/>
      <c r="NG1" s="22"/>
      <c r="NH1" s="22"/>
      <c r="NI1" s="22"/>
      <c r="NJ1" s="22"/>
      <c r="NK1" s="22"/>
      <c r="NL1" s="22"/>
      <c r="NM1" s="22"/>
      <c r="NN1" s="22"/>
      <c r="NO1" s="22"/>
      <c r="NP1" s="22"/>
      <c r="NQ1" s="22"/>
      <c r="NR1" s="22"/>
      <c r="NS1" s="22"/>
      <c r="NT1" s="22"/>
      <c r="NU1" s="22"/>
      <c r="NV1" s="22"/>
      <c r="NW1" s="22"/>
      <c r="NX1" s="22"/>
      <c r="NY1" s="22"/>
      <c r="NZ1" s="22"/>
      <c r="OA1" s="22"/>
      <c r="OB1" s="22"/>
      <c r="OC1" s="22"/>
      <c r="OD1" s="22"/>
      <c r="OE1" s="22"/>
      <c r="OF1" s="22"/>
      <c r="OG1" s="22"/>
      <c r="OH1" s="22"/>
      <c r="OI1" s="22"/>
      <c r="OJ1" s="22"/>
      <c r="OK1" s="22"/>
      <c r="OL1" s="22"/>
      <c r="OM1" s="22"/>
      <c r="ON1" s="22"/>
      <c r="OO1" s="22"/>
      <c r="OP1" s="22"/>
      <c r="OQ1" s="22"/>
      <c r="OR1" s="22"/>
      <c r="OS1" s="22"/>
      <c r="OT1" s="22"/>
      <c r="OU1" s="22"/>
      <c r="OV1" s="22"/>
      <c r="OW1" s="22"/>
      <c r="OX1" s="22"/>
      <c r="OY1" s="22"/>
      <c r="OZ1" s="22"/>
      <c r="PA1" s="22"/>
      <c r="PB1" s="22"/>
      <c r="PC1" s="22"/>
      <c r="PD1" s="22"/>
      <c r="PE1" s="22"/>
      <c r="PF1" s="22"/>
      <c r="PG1" s="22"/>
      <c r="PH1" s="22"/>
      <c r="PI1" s="22"/>
      <c r="PJ1" s="22"/>
      <c r="PK1" s="22"/>
      <c r="PL1" s="22"/>
      <c r="PM1" s="22"/>
      <c r="PN1" s="22"/>
      <c r="PO1" s="22"/>
      <c r="PP1" s="22"/>
      <c r="PQ1" s="22"/>
      <c r="PR1" s="22"/>
      <c r="PS1" s="22"/>
      <c r="PT1" s="22"/>
      <c r="PU1" s="22"/>
      <c r="PV1" s="22"/>
      <c r="PW1" s="22"/>
      <c r="PX1" s="22"/>
      <c r="PY1" s="22"/>
      <c r="PZ1" s="22"/>
      <c r="QA1" s="22"/>
      <c r="QB1" s="22"/>
      <c r="QC1" s="22"/>
      <c r="QD1" s="22"/>
      <c r="QE1" s="22"/>
      <c r="QF1" s="22"/>
      <c r="QG1" s="22"/>
      <c r="QH1" s="22"/>
      <c r="QI1" s="22"/>
      <c r="QJ1" s="22"/>
      <c r="QK1" s="22"/>
      <c r="QL1" s="22"/>
      <c r="QM1" s="22"/>
      <c r="QN1" s="22"/>
      <c r="QO1" s="22"/>
      <c r="QP1" s="22"/>
      <c r="QQ1" s="22"/>
      <c r="QR1" s="22"/>
      <c r="QS1" s="22"/>
      <c r="QT1" s="22"/>
      <c r="QU1" s="22"/>
      <c r="QV1" s="22"/>
      <c r="QW1" s="22"/>
      <c r="QX1" s="22"/>
      <c r="QY1" s="22"/>
      <c r="QZ1" s="22"/>
      <c r="RA1" s="22"/>
      <c r="RB1" s="22"/>
      <c r="RC1" s="22"/>
      <c r="RD1" s="22"/>
      <c r="RE1" s="22"/>
      <c r="RF1" s="22"/>
      <c r="RG1" s="22"/>
      <c r="RH1" s="22"/>
      <c r="RI1" s="22"/>
      <c r="RJ1" s="22"/>
      <c r="RK1" s="22"/>
      <c r="RL1" s="22"/>
      <c r="RM1" s="22"/>
      <c r="RN1" s="22"/>
      <c r="RO1" s="22"/>
      <c r="RP1" s="22"/>
      <c r="RQ1" s="22"/>
      <c r="RR1" s="22"/>
      <c r="RS1" s="22"/>
      <c r="RT1" s="22"/>
      <c r="RU1" s="22"/>
      <c r="RV1" s="22"/>
      <c r="RW1" s="22"/>
      <c r="RX1" s="22"/>
      <c r="RY1" s="22"/>
      <c r="RZ1" s="22"/>
      <c r="SA1" s="22"/>
      <c r="SB1" s="22"/>
      <c r="SC1" s="22"/>
      <c r="SD1" s="22"/>
      <c r="SE1" s="22"/>
      <c r="SF1" s="22"/>
      <c r="SG1" s="22"/>
      <c r="SH1" s="22"/>
      <c r="SI1" s="22"/>
      <c r="SJ1" s="22"/>
      <c r="SK1" s="22"/>
      <c r="SL1" s="22"/>
      <c r="SM1" s="22"/>
      <c r="SN1" s="22"/>
      <c r="SO1" s="22"/>
      <c r="SP1" s="22"/>
      <c r="SQ1" s="22"/>
      <c r="SR1" s="22"/>
      <c r="SS1" s="22"/>
      <c r="ST1" s="22"/>
      <c r="SU1" s="22"/>
      <c r="SV1" s="22"/>
      <c r="SW1" s="22"/>
      <c r="SX1" s="22"/>
      <c r="SY1" s="22"/>
      <c r="SZ1" s="22"/>
      <c r="TA1" s="22"/>
      <c r="TB1" s="22"/>
      <c r="TC1" s="22"/>
      <c r="TD1" s="22"/>
      <c r="TE1" s="22"/>
      <c r="TF1" s="22"/>
      <c r="TG1" s="22"/>
      <c r="TH1" s="22"/>
      <c r="TI1" s="22"/>
      <c r="TJ1" s="22"/>
      <c r="TK1" s="22"/>
      <c r="TL1" s="22"/>
      <c r="TM1" s="22"/>
      <c r="TN1" s="22"/>
      <c r="TO1" s="22"/>
      <c r="TP1" s="22"/>
      <c r="TQ1" s="22"/>
      <c r="TR1" s="22"/>
      <c r="TS1" s="22"/>
      <c r="TT1" s="22"/>
      <c r="TU1" s="22"/>
      <c r="TV1" s="22"/>
      <c r="TW1" s="22"/>
      <c r="TX1" s="22"/>
      <c r="TY1" s="22"/>
      <c r="TZ1" s="22"/>
      <c r="UA1" s="22"/>
      <c r="UB1" s="22"/>
      <c r="UC1" s="22"/>
      <c r="UD1" s="22"/>
      <c r="UE1" s="22"/>
      <c r="UF1" s="22"/>
      <c r="UG1" s="22"/>
      <c r="UH1" s="22"/>
      <c r="UI1" s="22"/>
      <c r="UJ1" s="22"/>
      <c r="UK1" s="22"/>
      <c r="UL1" s="22"/>
      <c r="UM1" s="22"/>
      <c r="UN1" s="22"/>
      <c r="UO1" s="22"/>
      <c r="UP1" s="22"/>
      <c r="UQ1" s="22"/>
      <c r="UR1" s="22"/>
      <c r="US1" s="22"/>
      <c r="UT1" s="22"/>
      <c r="UU1" s="22"/>
      <c r="UV1" s="22"/>
      <c r="UW1" s="22"/>
      <c r="UX1" s="22"/>
      <c r="UY1" s="22"/>
      <c r="UZ1" s="22"/>
      <c r="VA1" s="22"/>
      <c r="VB1" s="22"/>
      <c r="VC1" s="22"/>
      <c r="VD1" s="22"/>
      <c r="VE1" s="22"/>
      <c r="VF1" s="22"/>
      <c r="VG1" s="22"/>
      <c r="VH1" s="22"/>
      <c r="VI1" s="22"/>
      <c r="VJ1" s="22"/>
      <c r="VK1" s="22"/>
      <c r="VL1" s="22"/>
      <c r="VM1" s="22"/>
      <c r="VN1" s="22"/>
      <c r="VO1" s="22"/>
      <c r="VP1" s="22"/>
      <c r="VQ1" s="22"/>
      <c r="VR1" s="22"/>
      <c r="VS1" s="22"/>
      <c r="VT1" s="22"/>
      <c r="VU1" s="22"/>
      <c r="VV1" s="22"/>
      <c r="VW1" s="22"/>
      <c r="VX1" s="22"/>
      <c r="VY1" s="22"/>
      <c r="VZ1" s="22"/>
      <c r="WA1" s="22"/>
      <c r="WB1" s="22"/>
      <c r="WC1" s="22"/>
      <c r="WD1" s="22"/>
      <c r="WE1" s="22"/>
      <c r="WF1" s="22"/>
      <c r="WG1" s="22"/>
      <c r="WH1" s="22"/>
      <c r="WI1" s="22"/>
      <c r="WJ1" s="22"/>
      <c r="WK1" s="22"/>
      <c r="WL1" s="22"/>
      <c r="WM1" s="22"/>
      <c r="WN1" s="22"/>
      <c r="WO1" s="22"/>
      <c r="WP1" s="22"/>
      <c r="WQ1" s="22"/>
      <c r="WR1" s="22"/>
      <c r="WS1" s="22"/>
      <c r="WT1" s="22"/>
      <c r="WU1" s="22"/>
      <c r="WV1" s="22"/>
      <c r="WW1" s="22"/>
      <c r="WX1" s="22"/>
      <c r="WY1" s="22"/>
      <c r="WZ1" s="22"/>
      <c r="XA1" s="22"/>
      <c r="XB1" s="22"/>
      <c r="XC1" s="22"/>
      <c r="XD1" s="22"/>
      <c r="XE1" s="22"/>
      <c r="XF1" s="22"/>
      <c r="XG1" s="22"/>
      <c r="XH1" s="22"/>
      <c r="XI1" s="22"/>
      <c r="XJ1" s="22"/>
      <c r="XK1" s="22"/>
      <c r="XL1" s="22"/>
      <c r="XM1" s="22"/>
      <c r="XN1" s="22"/>
      <c r="XO1" s="22"/>
      <c r="XP1" s="22"/>
      <c r="XQ1" s="22"/>
      <c r="XR1" s="22"/>
      <c r="XS1" s="22"/>
      <c r="XT1" s="22"/>
      <c r="XU1" s="22"/>
      <c r="XV1" s="22"/>
      <c r="XW1" s="22"/>
      <c r="XX1" s="22"/>
      <c r="XY1" s="22"/>
      <c r="XZ1" s="22"/>
      <c r="YA1" s="22"/>
      <c r="YB1" s="22"/>
      <c r="YC1" s="22"/>
      <c r="YD1" s="22"/>
      <c r="YE1" s="22"/>
      <c r="YF1" s="22"/>
      <c r="YG1" s="22"/>
      <c r="YH1" s="22"/>
      <c r="YI1" s="22"/>
      <c r="YJ1" s="22"/>
      <c r="YK1" s="22"/>
      <c r="YL1" s="22"/>
      <c r="YM1" s="22"/>
      <c r="YN1" s="22"/>
      <c r="YO1" s="22"/>
      <c r="YP1" s="22"/>
      <c r="YQ1" s="22"/>
      <c r="YR1" s="22"/>
      <c r="YS1" s="22"/>
      <c r="YT1" s="22"/>
      <c r="YU1" s="22"/>
      <c r="YV1" s="22"/>
      <c r="YW1" s="22"/>
      <c r="YX1" s="22"/>
      <c r="YY1" s="22"/>
      <c r="YZ1" s="22"/>
      <c r="ZA1" s="22"/>
      <c r="ZB1" s="22"/>
      <c r="ZC1" s="22"/>
      <c r="ZD1" s="22"/>
      <c r="ZE1" s="22"/>
      <c r="ZF1" s="22"/>
      <c r="ZG1" s="22"/>
      <c r="ZH1" s="22"/>
      <c r="ZI1" s="22"/>
      <c r="ZJ1" s="22"/>
      <c r="ZK1" s="22"/>
      <c r="ZL1" s="22"/>
      <c r="ZM1" s="22"/>
      <c r="ZN1" s="22"/>
      <c r="ZO1" s="22"/>
      <c r="ZP1" s="22"/>
      <c r="ZQ1" s="22"/>
      <c r="ZR1" s="22"/>
      <c r="ZS1" s="22"/>
      <c r="ZT1" s="22"/>
      <c r="ZU1" s="22"/>
      <c r="ZV1" s="22"/>
      <c r="ZW1" s="22"/>
      <c r="ZX1" s="22"/>
      <c r="ZY1" s="22"/>
      <c r="ZZ1" s="22"/>
      <c r="AAA1" s="22"/>
      <c r="AAB1" s="22"/>
      <c r="AAC1" s="22"/>
      <c r="AAD1" s="22"/>
      <c r="AAE1" s="22"/>
      <c r="AAF1" s="22"/>
      <c r="AAG1" s="22"/>
      <c r="AAH1" s="22"/>
      <c r="AAI1" s="22"/>
      <c r="AAJ1" s="22"/>
      <c r="AAK1" s="22"/>
      <c r="AAL1" s="22"/>
      <c r="AAM1" s="22"/>
      <c r="AAN1" s="22"/>
      <c r="AAO1" s="22"/>
      <c r="AAP1" s="22"/>
      <c r="AAQ1" s="22"/>
      <c r="AAR1" s="22"/>
      <c r="AAS1" s="22"/>
      <c r="AAT1" s="22"/>
      <c r="AAU1" s="22"/>
      <c r="AAV1" s="22"/>
      <c r="AAW1" s="22"/>
      <c r="AAX1" s="22"/>
      <c r="AAY1" s="22"/>
      <c r="AAZ1" s="22"/>
      <c r="ABA1" s="22"/>
      <c r="ABB1" s="22"/>
      <c r="ABC1" s="22"/>
      <c r="ABD1" s="22"/>
      <c r="ABE1" s="22"/>
      <c r="ABF1" s="22"/>
      <c r="ABG1" s="22"/>
      <c r="ABH1" s="22"/>
      <c r="ABI1" s="22"/>
      <c r="ABJ1" s="22"/>
      <c r="ABK1" s="22"/>
      <c r="ABL1" s="22"/>
      <c r="ABM1" s="22"/>
      <c r="ABN1" s="22"/>
      <c r="ABO1" s="22"/>
      <c r="ABP1" s="22"/>
      <c r="ABQ1" s="22"/>
      <c r="ABR1" s="22"/>
      <c r="ABS1" s="22"/>
      <c r="ABT1" s="22"/>
      <c r="ABU1" s="22"/>
      <c r="ABV1" s="22"/>
      <c r="ABW1" s="22"/>
      <c r="ABX1" s="22"/>
      <c r="ABY1" s="22"/>
      <c r="ABZ1" s="22"/>
      <c r="ACA1" s="22"/>
      <c r="ACB1" s="22"/>
      <c r="ACC1" s="22"/>
      <c r="ACD1" s="22"/>
      <c r="ACE1" s="22"/>
      <c r="ACF1" s="22"/>
      <c r="ACG1" s="22"/>
      <c r="ACH1" s="22"/>
      <c r="ACI1" s="22"/>
      <c r="ACJ1" s="22"/>
      <c r="ACK1" s="22"/>
      <c r="ACL1" s="22"/>
      <c r="ACM1" s="22"/>
      <c r="ACN1" s="22"/>
      <c r="ACO1" s="22"/>
      <c r="ACP1" s="22"/>
      <c r="ACQ1" s="22"/>
      <c r="ACR1" s="22"/>
      <c r="ACS1" s="22"/>
      <c r="ACT1" s="22"/>
      <c r="ACU1" s="22"/>
      <c r="ACV1" s="22"/>
      <c r="ACW1" s="22"/>
      <c r="ACX1" s="22"/>
      <c r="ACY1" s="22"/>
      <c r="ACZ1" s="22"/>
      <c r="ADA1" s="22"/>
      <c r="ADB1" s="22"/>
      <c r="ADC1" s="22"/>
      <c r="ADD1" s="22"/>
      <c r="ADE1" s="22"/>
      <c r="ADF1" s="22"/>
      <c r="ADG1" s="22"/>
      <c r="ADH1" s="22"/>
      <c r="ADI1" s="22"/>
      <c r="ADJ1" s="22"/>
      <c r="ADK1" s="22"/>
      <c r="ADL1" s="22"/>
      <c r="ADM1" s="22"/>
      <c r="ADN1" s="22"/>
      <c r="ADO1" s="22"/>
      <c r="ADP1" s="22"/>
      <c r="ADQ1" s="22"/>
      <c r="ADR1" s="22"/>
      <c r="ADS1" s="22"/>
      <c r="ADT1" s="22"/>
      <c r="ADU1" s="22"/>
      <c r="ADV1" s="22"/>
      <c r="ADW1" s="22"/>
      <c r="ADX1" s="22"/>
      <c r="ADY1" s="22"/>
      <c r="ADZ1" s="22"/>
      <c r="AEA1" s="22"/>
      <c r="AEB1" s="22"/>
      <c r="AEC1" s="22"/>
      <c r="AED1" s="22"/>
      <c r="AEE1" s="22"/>
      <c r="AEF1" s="22"/>
      <c r="AEG1" s="22"/>
      <c r="AEH1" s="22"/>
      <c r="AEI1" s="22"/>
      <c r="AEJ1" s="22"/>
      <c r="AEK1" s="22"/>
      <c r="AEL1" s="22"/>
      <c r="AEM1" s="22"/>
      <c r="AEN1" s="22"/>
      <c r="AEO1" s="22"/>
      <c r="AEP1" s="22"/>
      <c r="AEQ1" s="22"/>
      <c r="AER1" s="22"/>
      <c r="AES1" s="22"/>
      <c r="AET1" s="22"/>
      <c r="AEU1" s="22"/>
      <c r="AEV1" s="22"/>
      <c r="AEW1" s="22"/>
      <c r="AEX1" s="22"/>
      <c r="AEY1" s="22"/>
      <c r="AEZ1" s="22"/>
      <c r="AFA1" s="22"/>
      <c r="AFB1" s="22"/>
      <c r="AFC1" s="22"/>
      <c r="AFD1" s="22"/>
      <c r="AFE1" s="22"/>
      <c r="AFF1" s="22"/>
      <c r="AFG1" s="22"/>
      <c r="AFH1" s="22"/>
      <c r="AFI1" s="22"/>
      <c r="AFJ1" s="22"/>
      <c r="AFK1" s="22"/>
      <c r="AFL1" s="22"/>
      <c r="AFM1" s="22"/>
      <c r="AFN1" s="22"/>
      <c r="AFO1" s="22"/>
      <c r="AFP1" s="22"/>
      <c r="AFQ1" s="22"/>
      <c r="AFR1" s="22"/>
      <c r="AFS1" s="22"/>
      <c r="AFT1" s="22"/>
      <c r="AFU1" s="22"/>
      <c r="AFV1" s="22"/>
      <c r="AFW1" s="22"/>
      <c r="AFX1" s="22"/>
      <c r="AFY1" s="22"/>
      <c r="AFZ1" s="22"/>
      <c r="AGA1" s="22"/>
      <c r="AGB1" s="22"/>
      <c r="AGC1" s="22"/>
      <c r="AGD1" s="22"/>
      <c r="AGE1" s="22"/>
      <c r="AGF1" s="22"/>
      <c r="AGG1" s="22"/>
      <c r="AGH1" s="22"/>
      <c r="AGI1" s="22"/>
      <c r="AGJ1" s="22"/>
      <c r="AGK1" s="22"/>
      <c r="AGL1" s="22"/>
      <c r="AGM1" s="22"/>
      <c r="AGN1" s="22"/>
      <c r="AGO1" s="22"/>
      <c r="AGP1" s="22"/>
      <c r="AGQ1" s="22"/>
      <c r="AGR1" s="22"/>
      <c r="AGS1" s="22"/>
      <c r="AGT1" s="22"/>
      <c r="AGU1" s="22"/>
      <c r="AGV1" s="22"/>
      <c r="AGW1" s="22"/>
      <c r="AGX1" s="22"/>
      <c r="AGY1" s="22"/>
      <c r="AGZ1" s="22"/>
      <c r="AHA1" s="22"/>
      <c r="AHB1" s="22"/>
      <c r="AHC1" s="22"/>
      <c r="AHD1" s="22"/>
      <c r="AHE1" s="22"/>
      <c r="AHF1" s="22"/>
      <c r="AHG1" s="22"/>
      <c r="AHH1" s="22"/>
      <c r="AHI1" s="22"/>
      <c r="AHJ1" s="22"/>
      <c r="AHK1" s="22"/>
      <c r="AHL1" s="22"/>
      <c r="AHM1" s="22"/>
      <c r="AHN1" s="22"/>
      <c r="AHO1" s="22"/>
      <c r="AHP1" s="22"/>
      <c r="AHQ1" s="22"/>
      <c r="AHR1" s="22"/>
      <c r="AHS1" s="22"/>
      <c r="AHT1" s="22"/>
      <c r="AHU1" s="22"/>
      <c r="AHV1" s="22"/>
      <c r="AHW1" s="22"/>
      <c r="AHX1" s="22"/>
      <c r="AHY1" s="22"/>
      <c r="AHZ1" s="22"/>
      <c r="AIA1" s="22"/>
      <c r="AIB1" s="22"/>
      <c r="AIC1" s="22"/>
      <c r="AID1" s="22"/>
      <c r="AIE1" s="22"/>
      <c r="AIF1" s="22"/>
      <c r="AIG1" s="22"/>
      <c r="AIH1" s="22"/>
      <c r="AII1" s="22"/>
      <c r="AIJ1" s="22"/>
      <c r="AIK1" s="22"/>
      <c r="AIL1" s="22"/>
      <c r="AIM1" s="22"/>
      <c r="AIN1" s="22"/>
      <c r="AIO1" s="22"/>
      <c r="AIP1" s="22"/>
      <c r="AIQ1" s="22"/>
      <c r="AIR1" s="22"/>
      <c r="AIS1" s="22"/>
      <c r="AIT1" s="22"/>
      <c r="AIU1" s="22"/>
      <c r="AIV1" s="22"/>
      <c r="AIW1" s="22"/>
      <c r="AIX1" s="22"/>
      <c r="AIY1" s="22"/>
      <c r="AIZ1" s="22"/>
      <c r="AJA1" s="22"/>
      <c r="AJB1" s="22"/>
      <c r="AJC1" s="22"/>
      <c r="AJD1" s="22"/>
      <c r="AJE1" s="22"/>
      <c r="AJF1" s="22"/>
      <c r="AJG1" s="22"/>
      <c r="AJH1" s="22"/>
      <c r="AJI1" s="22"/>
      <c r="AJJ1" s="22"/>
      <c r="AJK1" s="22"/>
      <c r="AJL1" s="22"/>
      <c r="AJM1" s="22"/>
      <c r="AJN1" s="22"/>
      <c r="AJO1" s="22"/>
      <c r="AJP1" s="22"/>
      <c r="AJQ1" s="22"/>
      <c r="AJR1" s="22"/>
      <c r="AJS1" s="22"/>
      <c r="AJT1" s="22"/>
      <c r="AJU1" s="22"/>
      <c r="AJV1" s="22"/>
      <c r="AJW1" s="22"/>
      <c r="AJX1" s="22"/>
      <c r="AJY1" s="22"/>
      <c r="AJZ1" s="22"/>
      <c r="AKA1" s="22"/>
      <c r="AKB1" s="22"/>
      <c r="AKC1" s="22"/>
      <c r="AKD1" s="22"/>
      <c r="AKE1" s="22"/>
      <c r="AKF1" s="22"/>
      <c r="AKG1" s="22"/>
      <c r="AKH1" s="22"/>
      <c r="AKI1" s="22"/>
      <c r="AKJ1" s="22"/>
      <c r="AKK1" s="22"/>
      <c r="AKL1" s="22"/>
      <c r="AKM1" s="22"/>
      <c r="AKN1" s="22"/>
      <c r="AKO1" s="22"/>
      <c r="AKP1" s="22"/>
      <c r="AKQ1" s="22"/>
      <c r="AKR1" s="22"/>
      <c r="AKS1" s="22"/>
      <c r="AKT1" s="22"/>
      <c r="AKU1" s="22"/>
      <c r="AKV1" s="22"/>
      <c r="AKW1" s="22"/>
      <c r="AKX1" s="22"/>
      <c r="AKY1" s="22"/>
      <c r="AKZ1" s="22"/>
      <c r="ALA1" s="22"/>
      <c r="ALB1" s="22"/>
      <c r="ALC1" s="22"/>
      <c r="ALD1" s="22"/>
      <c r="ALE1" s="22"/>
      <c r="ALF1" s="22"/>
      <c r="ALG1" s="22"/>
      <c r="ALH1" s="22"/>
      <c r="ALI1" s="22"/>
      <c r="ALJ1" s="22"/>
      <c r="ALK1" s="22"/>
      <c r="ALL1" s="22"/>
      <c r="ALM1" s="22"/>
      <c r="ALN1" s="22"/>
      <c r="ALO1" s="22"/>
      <c r="ALP1" s="22"/>
      <c r="ALQ1" s="22"/>
      <c r="ALR1" s="22"/>
      <c r="ALS1" s="22"/>
      <c r="ALT1" s="22"/>
      <c r="ALU1" s="22"/>
      <c r="ALV1" s="22"/>
      <c r="ALW1" s="22"/>
      <c r="ALX1" s="22"/>
      <c r="ALY1" s="22"/>
      <c r="ALZ1" s="22"/>
      <c r="AMA1" s="22"/>
      <c r="AMB1" s="22"/>
      <c r="AMC1" s="22"/>
      <c r="AMD1" s="22"/>
      <c r="AME1" s="22"/>
    </row>
    <row r="2" spans="1:1019" ht="47.25" x14ac:dyDescent="0.25">
      <c r="A2" s="23" t="s">
        <v>26</v>
      </c>
      <c r="B2" s="24" t="s">
        <v>24</v>
      </c>
      <c r="C2" s="25" t="s">
        <v>25</v>
      </c>
      <c r="D2" s="26">
        <v>1</v>
      </c>
      <c r="E2" s="26">
        <f>576*44</f>
        <v>25344</v>
      </c>
      <c r="F2" s="26">
        <v>12</v>
      </c>
      <c r="G2" s="26">
        <f t="shared" ref="G2" si="0">E2/F2</f>
        <v>2112</v>
      </c>
      <c r="H2" s="27">
        <v>5.9</v>
      </c>
      <c r="I2" s="27">
        <f t="shared" ref="I2" si="1">H2*E2</f>
        <v>149529.60000000001</v>
      </c>
      <c r="J2" s="28">
        <f>D2*E2*0.97</f>
        <v>24583.68</v>
      </c>
      <c r="K2" s="24">
        <v>77.105199999999996</v>
      </c>
      <c r="L2" s="29">
        <f t="shared" ref="L2" si="2">H2*K2*1.0425</f>
        <v>474.2548089</v>
      </c>
      <c r="M2" s="29">
        <f>$M$6/$I$4*I2</f>
        <v>11529509.713919999</v>
      </c>
      <c r="N2" s="29">
        <f>$N$6/$I$4*I2</f>
        <v>3458852.9141759998</v>
      </c>
      <c r="O2" s="29">
        <f>$O$6/$J$4*J2</f>
        <v>1798611.1111111112</v>
      </c>
      <c r="P2" s="29">
        <f>$P$6/$J$4*J2</f>
        <v>23333.333333333332</v>
      </c>
      <c r="Q2" s="29">
        <f t="shared" ref="Q2" si="3">M2+N2+O2+P2</f>
        <v>16810307.072540443</v>
      </c>
      <c r="R2" s="30">
        <f>SUM(Q2/E2)</f>
        <v>663.28547476879908</v>
      </c>
      <c r="S2" s="31">
        <v>815</v>
      </c>
      <c r="T2" s="32">
        <f>(S2-R2)/R2</f>
        <v>0.2287318673518125</v>
      </c>
      <c r="U2" s="33">
        <f>S2*E2</f>
        <v>20655360</v>
      </c>
      <c r="V2" s="33">
        <f t="shared" ref="V2" si="4">R2*E2</f>
        <v>16810307.072540443</v>
      </c>
      <c r="W2" s="21"/>
      <c r="X2" s="21"/>
      <c r="Y2" s="21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</row>
    <row r="3" spans="1:1019" ht="15.75" x14ac:dyDescent="0.25">
      <c r="A3" s="34"/>
      <c r="B3" s="35"/>
      <c r="C3" s="35"/>
      <c r="D3" s="36"/>
      <c r="E3" s="37"/>
      <c r="F3" s="21"/>
      <c r="G3" s="38"/>
      <c r="H3" s="38"/>
      <c r="I3" s="39"/>
      <c r="J3" s="21"/>
      <c r="K3" s="40"/>
      <c r="L3" s="20"/>
      <c r="M3" s="20"/>
      <c r="N3" s="20"/>
      <c r="O3" s="20"/>
      <c r="P3" s="20"/>
      <c r="Q3" s="20"/>
      <c r="R3" s="20"/>
      <c r="S3" s="21"/>
      <c r="T3" s="21"/>
      <c r="U3" s="41">
        <f>SUM(U2:U2)</f>
        <v>20655360</v>
      </c>
      <c r="V3" s="41">
        <f>SUM(V2:V2)</f>
        <v>16810307.072540443</v>
      </c>
      <c r="W3" s="21"/>
      <c r="X3" s="21"/>
      <c r="Y3" s="21"/>
    </row>
    <row r="4" spans="1:1019" ht="15.75" x14ac:dyDescent="0.25">
      <c r="A4" s="34"/>
      <c r="B4" s="35"/>
      <c r="C4" s="35"/>
      <c r="D4" s="36"/>
      <c r="E4" s="42">
        <f>SUM(E2:E3)</f>
        <v>25344</v>
      </c>
      <c r="F4" s="43"/>
      <c r="G4" s="42">
        <f>SUM(G2:G3)</f>
        <v>2112</v>
      </c>
      <c r="H4" s="43"/>
      <c r="I4" s="44">
        <f>SUMIF(I2:I2,"&lt;&gt;#ДЕЛ/0!")</f>
        <v>149529.60000000001</v>
      </c>
      <c r="J4" s="45">
        <f>((SUM(J2:J2)/700)*20)+(SUM(J2:J2))</f>
        <v>25286.070857142859</v>
      </c>
      <c r="L4" s="7"/>
      <c r="M4" s="46">
        <f>SUMIF(M2:M2,"&lt;&gt;#ДЕЛ/0!")</f>
        <v>11529509.713919999</v>
      </c>
      <c r="N4" s="46">
        <f>SUMIF(N2:N2,"&lt;&gt;#ДЕЛ/0!")</f>
        <v>3458852.9141759998</v>
      </c>
      <c r="O4" s="46">
        <f>SUMIF(O2:O2,"&lt;&gt;#ДЕЛ/0!")</f>
        <v>1798611.1111111112</v>
      </c>
      <c r="P4" s="46">
        <f>SUMIF(P2:P2,"&lt;&gt;#ДЕЛ/0!")</f>
        <v>23333.333333333332</v>
      </c>
      <c r="Q4" s="46">
        <f>SUMIF(Q2:Q2,"&lt;&gt;#ДЕЛ/0!")</f>
        <v>16810307.072540443</v>
      </c>
      <c r="R4" s="47"/>
      <c r="S4" s="21"/>
      <c r="V4" s="21"/>
      <c r="W4" s="21"/>
      <c r="X4" s="21"/>
      <c r="Y4" s="21"/>
      <c r="AMD4" s="5"/>
      <c r="AME4" s="5"/>
    </row>
    <row r="5" spans="1:1019" ht="15" x14ac:dyDescent="0.25">
      <c r="I5" s="6"/>
      <c r="J5" s="6"/>
      <c r="L5" s="7"/>
      <c r="M5" s="48" t="s">
        <v>22</v>
      </c>
      <c r="N5" s="48" t="s">
        <v>22</v>
      </c>
      <c r="O5" s="48" t="s">
        <v>22</v>
      </c>
      <c r="P5" s="48" t="s">
        <v>22</v>
      </c>
      <c r="Q5" s="49"/>
      <c r="U5" s="50" t="s">
        <v>23</v>
      </c>
      <c r="V5" s="51">
        <f>(U3-V3)/V3</f>
        <v>0.22873186735181253</v>
      </c>
    </row>
    <row r="6" spans="1:1019" ht="15.75" x14ac:dyDescent="0.25">
      <c r="I6" s="6"/>
      <c r="J6" s="6"/>
      <c r="M6" s="52">
        <f>I4*K2</f>
        <v>11529509.713919999</v>
      </c>
      <c r="N6" s="53">
        <f>M6*0.3</f>
        <v>3458852.9141759998</v>
      </c>
      <c r="O6" s="54">
        <v>1850000</v>
      </c>
      <c r="P6" s="54">
        <v>24000</v>
      </c>
      <c r="Q6" s="52">
        <f>M6+N6+O6+P6</f>
        <v>16862362.628095999</v>
      </c>
      <c r="U6" s="41">
        <f>U3-V3</f>
        <v>3845052.9274595566</v>
      </c>
    </row>
    <row r="7" spans="1:1019" x14ac:dyDescent="0.2">
      <c r="I7" s="6"/>
      <c r="J7" s="6"/>
      <c r="K7" s="5"/>
      <c r="N7" s="5"/>
      <c r="O7" s="5"/>
      <c r="P7" s="5"/>
      <c r="Q7" s="5"/>
    </row>
    <row r="8" spans="1:1019" x14ac:dyDescent="0.2">
      <c r="I8" s="6"/>
      <c r="J8" s="6"/>
      <c r="K8" s="5"/>
      <c r="N8" s="5"/>
      <c r="O8" s="5"/>
      <c r="P8" s="5"/>
      <c r="Q8" s="5"/>
    </row>
    <row r="9" spans="1:1019" x14ac:dyDescent="0.2">
      <c r="I9" s="6"/>
      <c r="J9" s="6"/>
      <c r="K9" s="5"/>
      <c r="N9" s="5"/>
      <c r="O9" s="5"/>
      <c r="P9" s="5"/>
      <c r="Q9" s="5"/>
    </row>
    <row r="10" spans="1:1019" x14ac:dyDescent="0.2">
      <c r="I10" s="6"/>
      <c r="J10" s="6"/>
      <c r="K10" s="5"/>
      <c r="N10" s="55"/>
      <c r="O10" s="5"/>
      <c r="P10" s="5"/>
      <c r="Q10" s="5"/>
    </row>
    <row r="11" spans="1:1019" x14ac:dyDescent="0.2">
      <c r="I11" s="6"/>
      <c r="J11" s="6"/>
      <c r="K11" s="5"/>
      <c r="N11" s="5"/>
      <c r="O11" s="5"/>
      <c r="P11" s="5"/>
      <c r="Q11" s="5"/>
    </row>
    <row r="12" spans="1:1019" x14ac:dyDescent="0.2">
      <c r="K12" s="5"/>
      <c r="N12" s="5"/>
      <c r="O12" s="5"/>
      <c r="P12" s="5"/>
      <c r="Q12" s="5"/>
    </row>
    <row r="13" spans="1:1019" x14ac:dyDescent="0.2">
      <c r="K13" s="5"/>
      <c r="N13" s="5"/>
      <c r="O13" s="5"/>
      <c r="P13" s="5"/>
      <c r="Q13" s="5"/>
    </row>
    <row r="14" spans="1:1019" x14ac:dyDescent="0.2">
      <c r="K14" s="5"/>
      <c r="N14" s="5"/>
      <c r="O14" s="5"/>
      <c r="P14" s="5"/>
      <c r="Q14" s="5"/>
    </row>
    <row r="15" spans="1:1019" x14ac:dyDescent="0.2">
      <c r="K15" s="5"/>
      <c r="N15" s="5"/>
      <c r="O15" s="5"/>
      <c r="P15" s="5"/>
      <c r="Q15" s="5"/>
    </row>
    <row r="16" spans="1:1019" x14ac:dyDescent="0.2">
      <c r="K16" s="5"/>
      <c r="N16" s="5"/>
      <c r="O16" s="5"/>
      <c r="P16" s="5"/>
      <c r="Q16" s="5"/>
    </row>
    <row r="17" spans="11:17" x14ac:dyDescent="0.2">
      <c r="K17" s="5"/>
      <c r="N17" s="5"/>
      <c r="O17" s="5"/>
      <c r="P17" s="5"/>
      <c r="Q17" s="5"/>
    </row>
    <row r="18" spans="11:17" x14ac:dyDescent="0.2">
      <c r="K18" s="5"/>
      <c r="N18" s="5"/>
      <c r="O18" s="5"/>
      <c r="P18" s="5"/>
      <c r="Q18" s="5"/>
    </row>
    <row r="19" spans="11:17" x14ac:dyDescent="0.2">
      <c r="K19" s="5"/>
      <c r="N19" s="5"/>
      <c r="O19" s="5"/>
      <c r="P19" s="5"/>
      <c r="Q19" s="5"/>
    </row>
    <row r="20" spans="11:17" x14ac:dyDescent="0.2">
      <c r="K20" s="5"/>
      <c r="N20" s="5"/>
      <c r="O20" s="5"/>
      <c r="P20" s="5"/>
      <c r="Q20" s="5"/>
    </row>
    <row r="21" spans="11:17" x14ac:dyDescent="0.2">
      <c r="K21" s="5"/>
      <c r="N21" s="5"/>
      <c r="O21" s="5"/>
      <c r="P21" s="5"/>
      <c r="Q21" s="5"/>
    </row>
    <row r="22" spans="11:17" x14ac:dyDescent="0.2">
      <c r="K22" s="5"/>
      <c r="N22" s="5"/>
      <c r="O22" s="5"/>
      <c r="P22" s="5"/>
      <c r="Q22" s="5"/>
    </row>
    <row r="23" spans="11:17" x14ac:dyDescent="0.2">
      <c r="K23" s="5"/>
      <c r="N23" s="5"/>
      <c r="O23" s="5"/>
      <c r="P23" s="5"/>
      <c r="Q23" s="5"/>
    </row>
    <row r="24" spans="11:17" x14ac:dyDescent="0.2">
      <c r="K24" s="5"/>
      <c r="N24" s="5"/>
      <c r="O24" s="5"/>
      <c r="P24" s="5"/>
      <c r="Q24" s="5"/>
    </row>
    <row r="25" spans="11:17" x14ac:dyDescent="0.2">
      <c r="K25" s="5"/>
      <c r="N25" s="5"/>
      <c r="O25" s="5"/>
      <c r="P25" s="5"/>
      <c r="Q25" s="5"/>
    </row>
    <row r="26" spans="11:17" x14ac:dyDescent="0.2">
      <c r="K26" s="5"/>
      <c r="N26" s="5"/>
      <c r="O26" s="5"/>
      <c r="P26" s="5"/>
      <c r="Q26" s="5"/>
    </row>
  </sheetData>
  <conditionalFormatting sqref="T6:T1048576 T1 T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ФПЗ_Э9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Макс Шалабаев</dc:creator>
  <dc:description/>
  <cp:lastModifiedBy>Vladislav Zinovyev</cp:lastModifiedBy>
  <cp:revision>61</cp:revision>
  <dcterms:created xsi:type="dcterms:W3CDTF">2024-10-07T18:09:28Z</dcterms:created>
  <dcterms:modified xsi:type="dcterms:W3CDTF">2026-05-08T12:33:51Z</dcterms:modified>
  <dc:language>ru-RU</dc:language>
</cp:coreProperties>
</file>