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6_STPARTS\"/>
    </mc:Choice>
  </mc:AlternateContent>
  <xr:revisionPtr revIDLastSave="0" documentId="13_ncr:1_{1949A40A-EAF3-4487-B15B-C4B06D0A5943}" xr6:coauthVersionLast="47" xr6:coauthVersionMax="47" xr10:uidLastSave="{00000000-0000-0000-0000-000000000000}"/>
  <bookViews>
    <workbookView xWindow="15" yWindow="2040" windowWidth="35295" windowHeight="18060" xr2:uid="{00000000-000D-0000-FFFF-FFFF00000000}"/>
  </bookViews>
  <sheets>
    <sheet name="ФПЗ_Э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9" i="1" l="1"/>
  <c r="W3" i="1"/>
  <c r="W4" i="1"/>
  <c r="W5" i="1"/>
  <c r="W6" i="1"/>
  <c r="W7" i="1"/>
  <c r="W2" i="1"/>
  <c r="Q3" i="1"/>
  <c r="Q4" i="1"/>
  <c r="Q5" i="1"/>
  <c r="Q6" i="1"/>
  <c r="Q7" i="1"/>
  <c r="P2" i="1"/>
  <c r="Q2" i="1"/>
  <c r="N3" i="1" l="1"/>
  <c r="N4" i="1"/>
  <c r="N5" i="1"/>
  <c r="N6" i="1"/>
  <c r="N7" i="1"/>
  <c r="N2" i="1"/>
  <c r="N10" i="1" s="1"/>
  <c r="E10" i="1"/>
  <c r="T12" i="1"/>
  <c r="S12" i="1"/>
  <c r="I25" i="1"/>
  <c r="I24" i="1"/>
  <c r="I23" i="1"/>
  <c r="Z8" i="1"/>
  <c r="Z2" i="1"/>
  <c r="O10" i="1"/>
  <c r="Z3" i="1" l="1"/>
  <c r="G4" i="1"/>
  <c r="E4" i="1" s="1"/>
  <c r="Z4" i="1" s="1"/>
  <c r="Z5" i="1"/>
  <c r="M3" i="1"/>
  <c r="M4" i="1"/>
  <c r="M5" i="1"/>
  <c r="O5" i="1"/>
  <c r="M6" i="1"/>
  <c r="O6" i="1"/>
  <c r="M7" i="1"/>
  <c r="E3" i="1"/>
  <c r="E5" i="1"/>
  <c r="K5" i="1" s="1"/>
  <c r="K10" i="1" s="1"/>
  <c r="E6" i="1"/>
  <c r="Z6" i="1" s="1"/>
  <c r="E7" i="1"/>
  <c r="O7" i="1" s="1"/>
  <c r="E2" i="1"/>
  <c r="M2" i="1"/>
  <c r="K7" i="1" l="1"/>
  <c r="K4" i="1"/>
  <c r="O3" i="1"/>
  <c r="K6" i="1"/>
  <c r="K3" i="1"/>
  <c r="O4" i="1"/>
  <c r="Z7" i="1"/>
  <c r="O2" i="1"/>
  <c r="K2" i="1"/>
  <c r="T5" i="1" l="1"/>
  <c r="T3" i="1" l="1"/>
  <c r="U5" i="1"/>
  <c r="U7" i="1"/>
  <c r="T6" i="1"/>
  <c r="U3" i="1"/>
  <c r="T7" i="1"/>
  <c r="T4" i="1"/>
  <c r="U6" i="1"/>
  <c r="U4" i="1"/>
  <c r="R4" i="1"/>
  <c r="R6" i="1"/>
  <c r="R7" i="1"/>
  <c r="R5" i="1"/>
  <c r="R3" i="1"/>
  <c r="R2" i="1"/>
  <c r="R10" i="1" s="1"/>
  <c r="T2" i="1"/>
  <c r="T10" i="1" s="1"/>
  <c r="U2" i="1"/>
  <c r="U10" i="1" s="1"/>
  <c r="O11" i="1"/>
  <c r="V12" i="1"/>
  <c r="S4" i="1" l="1"/>
  <c r="V4" i="1" s="1"/>
  <c r="H24" i="1" s="1"/>
  <c r="S3" i="1"/>
  <c r="V3" i="1" s="1"/>
  <c r="H23" i="1" s="1"/>
  <c r="S6" i="1"/>
  <c r="V6" i="1" s="1"/>
  <c r="S7" i="1"/>
  <c r="V7" i="1" s="1"/>
  <c r="Y7" i="1" s="1"/>
  <c r="S5" i="1"/>
  <c r="V5" i="1" s="1"/>
  <c r="S2" i="1"/>
  <c r="H25" i="1" l="1"/>
  <c r="V2" i="1"/>
  <c r="V10" i="1" s="1"/>
  <c r="S10" i="1"/>
  <c r="Y5" i="1"/>
  <c r="AA5" i="1"/>
  <c r="Y6" i="1"/>
  <c r="AA6" i="1"/>
  <c r="Y3" i="1"/>
  <c r="AA3" i="1"/>
  <c r="Y4" i="1"/>
  <c r="AA4" i="1"/>
  <c r="AA2" i="1" l="1"/>
  <c r="Y2" i="1"/>
  <c r="AA7" i="1" l="1"/>
  <c r="AA8" i="1" s="1"/>
  <c r="AA9" i="1" s="1"/>
  <c r="Z22" i="1" s="1"/>
  <c r="AA11" i="1" l="1"/>
</calcChain>
</file>

<file path=xl/sharedStrings.xml><?xml version="1.0" encoding="utf-8"?>
<sst xmlns="http://schemas.openxmlformats.org/spreadsheetml/2006/main" count="75" uniqueCount="47">
  <si>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</si>
  <si>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</si>
  <si>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</si>
  <si>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</si>
  <si>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</si>
  <si>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</si>
  <si>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</si>
  <si>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</si>
  <si>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</si>
  <si>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</si>
  <si>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</si>
  <si>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</si>
  <si>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</si>
  <si>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</si>
  <si>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</si>
  <si>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</si>
  <si>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</si>
  <si>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</si>
  <si>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</si>
  <si>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</si>
  <si>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</si>
  <si>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</si>
  <si>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BMW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</si>
  <si>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</si>
  <si>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</si>
  <si>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</si>
  <si>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</si>
  <si>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</si>
  <si>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</si>
  <si>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Для СТ</t>
  </si>
  <si>
    <t>Для нас</t>
  </si>
  <si>
    <t>MZ321233</t>
  </si>
  <si>
    <t>0450000115</t>
  </si>
  <si>
    <t>83135A82511</t>
  </si>
  <si>
    <t>83225A4F016</t>
  </si>
  <si>
    <t>MZ321232</t>
  </si>
  <si>
    <t>MITSUBISHI</t>
  </si>
  <si>
    <t>HYUNDAI / KIA</t>
  </si>
  <si>
    <t>SP / GF-6A 5W-30</t>
  </si>
  <si>
    <t>SP-IV</t>
  </si>
  <si>
    <t>TwinPower Turbo LL-01 5W-30</t>
  </si>
  <si>
    <t>Brake Fluid DOT4</t>
  </si>
  <si>
    <t>DTF-I</t>
  </si>
  <si>
    <t>Количество</t>
  </si>
  <si>
    <t xml:space="preserve">Адрес доставки: </t>
  </si>
  <si>
    <t>проезд Батюнинский проезд 9 стр.1</t>
  </si>
  <si>
    <t>ИТОГО ФАКТ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</si>
</sst>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</numFmts>
  <fonts count="13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b/>
      <sz val="1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5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0" fontId="12" fillId="8" borderId="2" xfId="0" applyFont="1" applyFill="1" applyBorder="1" applyAlignment="1">
      <alignment horizontal="center" vertical="center"/>
    </xf>
    <xf numFmtId="10" fontId="12" fillId="8" borderId="2" xfId="3" applyNumberFormat="1" applyFont="1" applyFill="1" applyBorder="1" applyAlignment="1" applyProtection="1">
      <alignment horizontal="center" vertical="center"/>
    </xf>
    <xf numFmtId="173" fontId="3" fillId="0" borderId="0" xfId="0" applyNumberFormat="1" applyFont="1" applyAlignment="1" applyProtection="1">
      <alignment horizontal="center" wrapText="1"/>
    </xf>
    <xf numFmtId="173" fontId="2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Alignment="1" applyProtection="1">
      <alignment horizontal="center" vertical="center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32"/>
  <sheetViews>
    <sheetView tabSelected="1" zoomScale="85" workbookViewId="0">
      <pane xSplit="5" ySplit="1" topLeftCell="F2" activePane="bottomRight" state="frozen"/>
      <selection sqref="A1:H5"/>
      <selection pane="topRight"/>
      <selection pane="bottomLeft"/>
      <selection pane="bottomRight" activeCell="B12" sqref="B12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9" width="15.28515625" style="4" bestFit="1" customWidth="1"/>
    <col min="10" max="10" width="10.42578125" style="5" customWidth="1"/>
    <col min="11" max="11" width="10.7109375" style="6" customWidth="1"/>
    <col min="12" max="13" width="22.28515625" style="6" bestFit="1" customWidth="1"/>
    <col min="14" max="14" width="16.42578125" style="7" customWidth="1"/>
    <col min="15" max="15" width="11.5703125" style="5"/>
    <col min="16" max="16" width="11.5703125" style="7"/>
    <col min="17" max="17" width="12.5703125" style="5" customWidth="1"/>
    <col min="18" max="18" width="18.5703125" style="5" customWidth="1"/>
    <col min="19" max="20" width="17.5703125" style="7" customWidth="1"/>
    <col min="21" max="21" width="14.140625" style="7" customWidth="1"/>
    <col min="22" max="22" width="21.5703125" style="7" customWidth="1"/>
    <col min="23" max="23" width="27.42578125" style="5" bestFit="1" customWidth="1"/>
    <col min="24" max="24" width="17.5703125" style="5" customWidth="1"/>
    <col min="25" max="25" width="19.140625" style="5" customWidth="1"/>
    <col min="26" max="26" width="34.42578125" style="5" customWidth="1"/>
    <col min="27" max="27" width="28" style="5" customWidth="1"/>
    <col min="28" max="28" width="15.7109375" style="5" customWidth="1"/>
    <col min="29" max="29" width="11.5703125" style="5"/>
    <col min="30" max="30" width="44.140625" style="5" customWidth="1"/>
    <col min="31" max="1022" width="11.5703125" style="5"/>
    <col min="1023" max="1024" width="11.5703125" style="8"/>
  </cols>
  <sheetData>
    <row r="1" spans="1:1024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29</v>
      </c>
      <c r="G1" s="12" t="s">
        <v>30</v>
      </c>
      <c r="H1" s="12" t="s">
        <v>27</v>
      </c>
      <c r="I1" s="12" t="s">
        <v>28</v>
      </c>
      <c r="J1" s="10" t="s">
        <v>5</v>
      </c>
      <c r="K1" s="10" t="s">
        <v>6</v>
      </c>
      <c r="L1" s="10" t="s">
        <v>7</v>
      </c>
      <c r="M1" s="10" t="s">
        <v>26</v>
      </c>
      <c r="N1" s="13" t="s">
        <v>8</v>
      </c>
      <c r="O1" s="14" t="s">
        <v>9</v>
      </c>
      <c r="P1" s="11" t="s">
        <v>10</v>
      </c>
      <c r="Q1" s="15" t="s">
        <v>11</v>
      </c>
      <c r="R1" s="16" t="s">
        <v>12</v>
      </c>
      <c r="S1" s="17" t="s">
        <v>13</v>
      </c>
      <c r="T1" s="17" t="s">
        <v>14</v>
      </c>
      <c r="U1" s="17" t="s">
        <v>15</v>
      </c>
      <c r="V1" s="17" t="s">
        <v>16</v>
      </c>
      <c r="W1" s="18" t="s">
        <v>17</v>
      </c>
      <c r="X1" s="19" t="s">
        <v>18</v>
      </c>
      <c r="Y1" s="20" t="s">
        <v>19</v>
      </c>
      <c r="Z1" s="20" t="s">
        <v>20</v>
      </c>
      <c r="AA1" s="20" t="s">
        <v>21</v>
      </c>
      <c r="AB1" s="21"/>
      <c r="AC1" s="21"/>
      <c r="AD1" s="21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</row>
    <row r="2" spans="1:1024" ht="15.75" x14ac:dyDescent="0.25">
      <c r="A2" s="23" t="s">
        <v>31</v>
      </c>
      <c r="B2" s="24" t="s">
        <v>36</v>
      </c>
      <c r="C2" s="25" t="s">
        <v>38</v>
      </c>
      <c r="D2" s="26">
        <v>1</v>
      </c>
      <c r="E2" s="26">
        <f>SUM(F2:G2)</f>
        <v>360</v>
      </c>
      <c r="F2" s="26">
        <v>360</v>
      </c>
      <c r="G2" s="26"/>
      <c r="H2" s="26"/>
      <c r="I2" s="26"/>
      <c r="J2" s="26">
        <v>24</v>
      </c>
      <c r="K2" s="26">
        <f t="shared" ref="K2" si="0">E2/J2</f>
        <v>15</v>
      </c>
      <c r="L2" s="27">
        <v>4.21</v>
      </c>
      <c r="M2" s="27">
        <f>L2+17/P2</f>
        <v>4.4294281780572167</v>
      </c>
      <c r="N2" s="27">
        <f>L2*E2</f>
        <v>1515.6</v>
      </c>
      <c r="O2" s="28">
        <f>D2*E2*0.97</f>
        <v>349.2</v>
      </c>
      <c r="P2" s="24">
        <f>21.1101082348139*3.67</f>
        <v>77.474097221767011</v>
      </c>
      <c r="Q2" s="29">
        <f>L2*P2</f>
        <v>326.16594930363914</v>
      </c>
      <c r="R2" s="29">
        <f t="shared" ref="R2:R7" si="1">$R$12/$N$10*N2</f>
        <v>117436.37507375304</v>
      </c>
      <c r="S2" s="29">
        <f t="shared" ref="S2:S7" si="2">$S$12/$N$10*N2</f>
        <v>32882.185020650853</v>
      </c>
      <c r="T2" s="29">
        <f t="shared" ref="T2:T7" si="3">$T$12/$O$10*O2</f>
        <v>27069.917834702752</v>
      </c>
      <c r="U2" s="29">
        <f t="shared" ref="U2:U7" si="4">$U$12/$O$10*O2</f>
        <v>1159.9806669888835</v>
      </c>
      <c r="V2" s="29">
        <f t="shared" ref="V2" si="5">R2+S2+T2+U2</f>
        <v>178548.45859609553</v>
      </c>
      <c r="W2" s="30">
        <f>Q2*($W$12/$R$12)</f>
        <v>491.90520775354753</v>
      </c>
      <c r="X2" s="31">
        <v>510</v>
      </c>
      <c r="Y2" s="32">
        <f>IFERROR((X2-W2)/W2,"")</f>
        <v>3.6785120306183576E-2</v>
      </c>
      <c r="Z2" s="33">
        <f>X2*E2</f>
        <v>183600</v>
      </c>
      <c r="AA2" s="33">
        <f>IFERROR(W2*E2,"")</f>
        <v>177085.87479127711</v>
      </c>
      <c r="AB2" s="21"/>
      <c r="AC2" s="21"/>
      <c r="AD2" s="21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</row>
    <row r="3" spans="1:1024" ht="15.75" x14ac:dyDescent="0.25">
      <c r="A3" s="23" t="s">
        <v>32</v>
      </c>
      <c r="B3" s="24" t="s">
        <v>37</v>
      </c>
      <c r="C3" s="25" t="s">
        <v>39</v>
      </c>
      <c r="D3" s="26">
        <v>1</v>
      </c>
      <c r="E3" s="26">
        <f t="shared" ref="E3:E7" si="6">SUM(F3:G3)</f>
        <v>17136</v>
      </c>
      <c r="F3" s="26">
        <v>15120</v>
      </c>
      <c r="G3" s="26">
        <v>2016</v>
      </c>
      <c r="H3" s="26"/>
      <c r="I3" s="26"/>
      <c r="J3" s="26">
        <v>25</v>
      </c>
      <c r="K3" s="26">
        <f t="shared" ref="K3:K7" si="7">E3/J3</f>
        <v>685.44</v>
      </c>
      <c r="L3" s="27">
        <v>5.0999999999999996</v>
      </c>
      <c r="M3" s="27">
        <f t="shared" ref="M3:M7" si="8">L3+17/P3</f>
        <v>5.3151898734177214</v>
      </c>
      <c r="N3" s="27">
        <f t="shared" ref="N3:N7" si="9">L3*E3</f>
        <v>87393.599999999991</v>
      </c>
      <c r="O3" s="28">
        <f t="shared" ref="O3:O7" si="10">D3*E3*0.97</f>
        <v>16621.919999999998</v>
      </c>
      <c r="P3" s="24">
        <v>79</v>
      </c>
      <c r="Q3" s="29">
        <f t="shared" ref="Q3:Q7" si="11">L3*P3</f>
        <v>402.9</v>
      </c>
      <c r="R3" s="29">
        <f t="shared" si="1"/>
        <v>6771699.3854879541</v>
      </c>
      <c r="S3" s="29">
        <f t="shared" si="2"/>
        <v>1896075.8279366272</v>
      </c>
      <c r="T3" s="29">
        <f t="shared" si="3"/>
        <v>1288528.0889318509</v>
      </c>
      <c r="U3" s="29">
        <f t="shared" si="4"/>
        <v>55215.079748670847</v>
      </c>
      <c r="V3" s="29">
        <f t="shared" ref="V3:V7" si="12">R3+S3+T3+U3</f>
        <v>10011518.382105105</v>
      </c>
      <c r="W3" s="30">
        <f t="shared" ref="W3:W7" si="13">Q3*($W$12/$R$12)</f>
        <v>607.63120315604647</v>
      </c>
      <c r="X3" s="31">
        <v>630</v>
      </c>
      <c r="Y3" s="32">
        <f t="shared" ref="Y3:Y7" si="14">IFERROR((X3-W3)/W3,"")</f>
        <v>3.6813114151757899E-2</v>
      </c>
      <c r="Z3" s="33">
        <f>X3*E3</f>
        <v>10795680</v>
      </c>
      <c r="AA3" s="33">
        <f t="shared" ref="AA3:AA6" si="15">IFERROR(W3*E3,"")</f>
        <v>10412368.297282012</v>
      </c>
      <c r="AB3" s="21"/>
      <c r="AC3" s="21"/>
      <c r="AD3" s="21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</row>
    <row r="4" spans="1:1024" ht="15.75" x14ac:dyDescent="0.25">
      <c r="A4" s="23">
        <v>83212465843</v>
      </c>
      <c r="B4" s="24" t="s">
        <v>22</v>
      </c>
      <c r="C4" s="25" t="s">
        <v>40</v>
      </c>
      <c r="D4" s="26">
        <v>1</v>
      </c>
      <c r="E4" s="26">
        <f t="shared" si="6"/>
        <v>5208</v>
      </c>
      <c r="F4" s="26">
        <v>3480</v>
      </c>
      <c r="G4" s="26">
        <f>576*3</f>
        <v>1728</v>
      </c>
      <c r="H4" s="26"/>
      <c r="I4" s="26"/>
      <c r="J4" s="26">
        <v>26</v>
      </c>
      <c r="K4" s="26">
        <f t="shared" si="7"/>
        <v>200.30769230769232</v>
      </c>
      <c r="L4" s="27">
        <v>6.8</v>
      </c>
      <c r="M4" s="27">
        <f t="shared" si="8"/>
        <v>7.0151898734177216</v>
      </c>
      <c r="N4" s="27">
        <f t="shared" si="9"/>
        <v>35414.400000000001</v>
      </c>
      <c r="O4" s="28">
        <f t="shared" si="10"/>
        <v>5051.76</v>
      </c>
      <c r="P4" s="24">
        <v>79</v>
      </c>
      <c r="Q4" s="29">
        <f t="shared" si="11"/>
        <v>537.19999999999993</v>
      </c>
      <c r="R4" s="29">
        <f t="shared" si="1"/>
        <v>2744087.3326813933</v>
      </c>
      <c r="S4" s="29">
        <f t="shared" si="2"/>
        <v>768344.45315079018</v>
      </c>
      <c r="T4" s="29">
        <f t="shared" si="3"/>
        <v>391611.47800869984</v>
      </c>
      <c r="U4" s="29">
        <f t="shared" si="4"/>
        <v>16781.053649105848</v>
      </c>
      <c r="V4" s="29">
        <f t="shared" si="12"/>
        <v>3920824.3174899891</v>
      </c>
      <c r="W4" s="30">
        <f t="shared" si="13"/>
        <v>810.17493754139525</v>
      </c>
      <c r="X4" s="31">
        <v>820</v>
      </c>
      <c r="Y4" s="32">
        <f t="shared" si="14"/>
        <v>1.2127087624335137E-2</v>
      </c>
      <c r="Z4" s="33">
        <f t="shared" ref="Z4:Z6" si="16">X4*E4</f>
        <v>4270560</v>
      </c>
      <c r="AA4" s="33">
        <f t="shared" si="15"/>
        <v>4219391.0747155864</v>
      </c>
      <c r="AB4" s="21"/>
      <c r="AC4" s="21"/>
      <c r="AD4" s="21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</row>
    <row r="5" spans="1:1024" ht="15.75" x14ac:dyDescent="0.25">
      <c r="A5" s="23" t="s">
        <v>33</v>
      </c>
      <c r="B5" s="24" t="s">
        <v>22</v>
      </c>
      <c r="C5" s="25" t="s">
        <v>41</v>
      </c>
      <c r="D5" s="26">
        <v>1</v>
      </c>
      <c r="E5" s="26">
        <f t="shared" si="6"/>
        <v>348</v>
      </c>
      <c r="F5" s="26">
        <v>348</v>
      </c>
      <c r="G5" s="26"/>
      <c r="H5" s="26"/>
      <c r="I5" s="26"/>
      <c r="J5" s="26">
        <v>10</v>
      </c>
      <c r="K5" s="26">
        <f t="shared" si="7"/>
        <v>34.799999999999997</v>
      </c>
      <c r="L5" s="27">
        <v>9.6199999999999992</v>
      </c>
      <c r="M5" s="27">
        <f t="shared" si="8"/>
        <v>9.8351898734177201</v>
      </c>
      <c r="N5" s="27">
        <f t="shared" si="9"/>
        <v>3347.7599999999998</v>
      </c>
      <c r="O5" s="28">
        <f t="shared" si="10"/>
        <v>337.56</v>
      </c>
      <c r="P5" s="24">
        <v>79</v>
      </c>
      <c r="Q5" s="29">
        <f t="shared" si="11"/>
        <v>759.9799999999999</v>
      </c>
      <c r="R5" s="29">
        <f t="shared" si="1"/>
        <v>259401.42452949818</v>
      </c>
      <c r="S5" s="29">
        <f t="shared" si="2"/>
        <v>72632.398868259494</v>
      </c>
      <c r="T5" s="29">
        <f t="shared" si="3"/>
        <v>26167.587240212662</v>
      </c>
      <c r="U5" s="29">
        <f t="shared" si="4"/>
        <v>1121.3146447559207</v>
      </c>
      <c r="V5" s="29">
        <f t="shared" si="12"/>
        <v>359322.72528272623</v>
      </c>
      <c r="W5" s="30">
        <f t="shared" si="13"/>
        <v>1146.1592498747384</v>
      </c>
      <c r="X5" s="31">
        <v>1160</v>
      </c>
      <c r="Y5" s="32">
        <f t="shared" si="14"/>
        <v>1.2075765323862475E-2</v>
      </c>
      <c r="Z5" s="33">
        <f t="shared" si="16"/>
        <v>403680</v>
      </c>
      <c r="AA5" s="33">
        <f t="shared" si="15"/>
        <v>398863.41895640898</v>
      </c>
      <c r="AB5" s="21"/>
      <c r="AC5" s="21"/>
      <c r="AD5" s="21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</row>
    <row r="6" spans="1:1024" ht="15.75" x14ac:dyDescent="0.25">
      <c r="A6" s="23" t="s">
        <v>34</v>
      </c>
      <c r="B6" s="24" t="s">
        <v>22</v>
      </c>
      <c r="C6" s="25" t="s">
        <v>42</v>
      </c>
      <c r="D6" s="26">
        <v>1</v>
      </c>
      <c r="E6" s="26">
        <f t="shared" si="6"/>
        <v>192</v>
      </c>
      <c r="F6" s="26">
        <v>192</v>
      </c>
      <c r="G6" s="26"/>
      <c r="H6" s="26"/>
      <c r="I6" s="26"/>
      <c r="J6" s="26">
        <v>29</v>
      </c>
      <c r="K6" s="26">
        <f t="shared" si="7"/>
        <v>6.6206896551724137</v>
      </c>
      <c r="L6" s="27">
        <v>36.44</v>
      </c>
      <c r="M6" s="27">
        <f t="shared" si="8"/>
        <v>36.655189873417719</v>
      </c>
      <c r="N6" s="27">
        <f t="shared" si="9"/>
        <v>6996.48</v>
      </c>
      <c r="O6" s="28">
        <f t="shared" si="10"/>
        <v>186.24</v>
      </c>
      <c r="P6" s="24">
        <v>79</v>
      </c>
      <c r="Q6" s="29">
        <f t="shared" si="11"/>
        <v>2878.7599999999998</v>
      </c>
      <c r="R6" s="29">
        <f t="shared" si="1"/>
        <v>542122.75631829747</v>
      </c>
      <c r="S6" s="29">
        <f t="shared" si="2"/>
        <v>151794.3717691233</v>
      </c>
      <c r="T6" s="29">
        <f t="shared" si="3"/>
        <v>14437.289511841469</v>
      </c>
      <c r="U6" s="29">
        <f t="shared" si="4"/>
        <v>618.6563557274045</v>
      </c>
      <c r="V6" s="29">
        <f t="shared" si="12"/>
        <v>708973.07395498955</v>
      </c>
      <c r="W6" s="30">
        <f t="shared" si="13"/>
        <v>4341.5845182365356</v>
      </c>
      <c r="X6" s="31">
        <v>4400</v>
      </c>
      <c r="Y6" s="32">
        <f t="shared" si="14"/>
        <v>1.3454876098367794E-2</v>
      </c>
      <c r="Z6" s="33">
        <f t="shared" si="16"/>
        <v>844800</v>
      </c>
      <c r="AA6" s="33">
        <f t="shared" si="15"/>
        <v>833584.22750141483</v>
      </c>
      <c r="AB6" s="21"/>
      <c r="AC6" s="21"/>
      <c r="AD6" s="21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</row>
    <row r="7" spans="1:1024" ht="15.75" x14ac:dyDescent="0.25">
      <c r="A7" s="23" t="s">
        <v>35</v>
      </c>
      <c r="B7" s="24" t="s">
        <v>36</v>
      </c>
      <c r="C7" s="25" t="s">
        <v>38</v>
      </c>
      <c r="D7" s="26">
        <v>4</v>
      </c>
      <c r="E7" s="26">
        <f t="shared" si="6"/>
        <v>396</v>
      </c>
      <c r="F7" s="26">
        <v>396</v>
      </c>
      <c r="G7" s="26"/>
      <c r="H7" s="26"/>
      <c r="I7" s="26"/>
      <c r="J7" s="26">
        <v>30</v>
      </c>
      <c r="K7" s="26">
        <f t="shared" si="7"/>
        <v>13.2</v>
      </c>
      <c r="L7" s="27">
        <v>15.11</v>
      </c>
      <c r="M7" s="27">
        <f t="shared" si="8"/>
        <v>15.32518987341772</v>
      </c>
      <c r="N7" s="27">
        <f t="shared" si="9"/>
        <v>5983.5599999999995</v>
      </c>
      <c r="O7" s="28">
        <f t="shared" si="10"/>
        <v>1536.48</v>
      </c>
      <c r="P7" s="24">
        <v>79</v>
      </c>
      <c r="Q7" s="29">
        <f t="shared" si="11"/>
        <v>1193.69</v>
      </c>
      <c r="R7" s="29">
        <f t="shared" si="1"/>
        <v>463636.57722110429</v>
      </c>
      <c r="S7" s="29">
        <f t="shared" si="2"/>
        <v>129818.24162190921</v>
      </c>
      <c r="T7" s="29">
        <f t="shared" si="3"/>
        <v>119107.63847269211</v>
      </c>
      <c r="U7" s="29">
        <f t="shared" si="4"/>
        <v>5103.9149347510875</v>
      </c>
      <c r="V7" s="29">
        <f t="shared" si="12"/>
        <v>717666.37225045671</v>
      </c>
      <c r="W7" s="30">
        <f t="shared" si="13"/>
        <v>1800.2563685662476</v>
      </c>
      <c r="X7" s="31">
        <v>1820</v>
      </c>
      <c r="Y7" s="32">
        <f t="shared" si="14"/>
        <v>1.0967122115766509E-2</v>
      </c>
      <c r="Z7" s="33">
        <f>SUM(Z2:Z2)</f>
        <v>183600</v>
      </c>
      <c r="AA7" s="33">
        <f>SUM(AA2:AA2)</f>
        <v>177085.87479127711</v>
      </c>
      <c r="AB7" s="21"/>
      <c r="AC7" s="21"/>
      <c r="AD7" s="21"/>
    </row>
    <row r="8" spans="1:1024" ht="15.75" x14ac:dyDescent="0.25">
      <c r="A8" s="46"/>
      <c r="B8" s="47"/>
      <c r="C8" s="48"/>
      <c r="D8" s="49"/>
      <c r="E8" s="49"/>
      <c r="F8" s="49"/>
      <c r="G8" s="49"/>
      <c r="H8" s="49"/>
      <c r="I8" s="49"/>
      <c r="J8" s="49"/>
      <c r="K8" s="49"/>
      <c r="L8" s="49"/>
      <c r="M8" s="50"/>
      <c r="N8" s="50"/>
      <c r="O8" s="57"/>
      <c r="P8" s="47"/>
      <c r="Q8" s="51"/>
      <c r="R8" s="51"/>
      <c r="S8" s="51"/>
      <c r="T8" s="51"/>
      <c r="U8" s="34"/>
      <c r="V8" s="51"/>
      <c r="W8" s="52"/>
      <c r="X8" s="57"/>
      <c r="Y8" s="53"/>
      <c r="Z8" s="54">
        <f>SUM(Z2:Z7)</f>
        <v>16681920</v>
      </c>
      <c r="AA8" s="54">
        <f>SUM(AA2:AA7)</f>
        <v>16218378.768037977</v>
      </c>
      <c r="AB8" s="21"/>
      <c r="AC8" s="21"/>
      <c r="AD8" s="21"/>
    </row>
    <row r="9" spans="1:1024" ht="15.75" x14ac:dyDescent="0.25">
      <c r="A9" s="46"/>
      <c r="B9" s="47"/>
      <c r="C9" s="48"/>
      <c r="D9" s="49"/>
      <c r="E9" s="49"/>
      <c r="F9" s="49"/>
      <c r="G9" s="49"/>
      <c r="H9" s="49"/>
      <c r="I9" s="49"/>
      <c r="J9" s="49"/>
      <c r="K9" s="49"/>
      <c r="L9" s="49"/>
      <c r="M9" s="50"/>
      <c r="N9" s="50"/>
      <c r="O9" s="57"/>
      <c r="P9" s="47"/>
      <c r="Q9" s="51"/>
      <c r="R9" s="51"/>
      <c r="S9" s="51"/>
      <c r="T9" s="51"/>
      <c r="U9" s="34"/>
      <c r="V9" s="51"/>
      <c r="W9" s="52"/>
      <c r="X9" s="57"/>
      <c r="Y9" s="53"/>
      <c r="Z9" s="54">
        <f>Z8-I25</f>
        <v>13994880</v>
      </c>
      <c r="AA9" s="54">
        <f>AA8-H25</f>
        <v>13593411.970403856</v>
      </c>
      <c r="AB9" s="21"/>
      <c r="AC9" s="21"/>
      <c r="AD9" s="21"/>
    </row>
    <row r="10" spans="1:1024" ht="15.75" x14ac:dyDescent="0.25">
      <c r="A10" s="35"/>
      <c r="B10" s="36"/>
      <c r="C10" s="36"/>
      <c r="D10" s="37"/>
      <c r="E10" s="38">
        <f>SUM(E2:E7)</f>
        <v>23640</v>
      </c>
      <c r="F10" s="38"/>
      <c r="G10" s="38"/>
      <c r="H10" s="38"/>
      <c r="I10" s="38"/>
      <c r="J10" s="39"/>
      <c r="K10" s="38">
        <f>SUM(K2:K7)</f>
        <v>955.36838196286487</v>
      </c>
      <c r="L10" s="38"/>
      <c r="M10" s="39"/>
      <c r="N10" s="58">
        <f>SUMIF(N2:N7,"&lt;&gt;#ДЕЛ/0!")</f>
        <v>140651.4</v>
      </c>
      <c r="O10" s="59">
        <f>SUM(O2:O7)</f>
        <v>24083.16</v>
      </c>
      <c r="Q10" s="7"/>
      <c r="R10" s="40">
        <f>SUMIF(R2:R7,"&lt;&gt;#ДЕЛ/0!")</f>
        <v>10898383.851312</v>
      </c>
      <c r="S10" s="40">
        <f>SUMIF(S2:S7,"&lt;&gt;#ДЕЛ/0!")</f>
        <v>3051547.4783673603</v>
      </c>
      <c r="T10" s="40">
        <f>SUMIF(T2:T7,"&lt;&gt;#ДЕЛ/0!")</f>
        <v>1866921.9999999995</v>
      </c>
      <c r="U10" s="40">
        <f>SUMIF(U2:U7,"&lt;&gt;#ДЕЛ/0!")</f>
        <v>80000</v>
      </c>
      <c r="V10" s="40">
        <f>SUMIF(V2:V7,"&lt;&gt;#ДЕЛ/0!")</f>
        <v>15896853.329679362</v>
      </c>
      <c r="W10" s="64" t="s">
        <v>46</v>
      </c>
      <c r="X10" s="21"/>
      <c r="AA10" s="21"/>
      <c r="AB10" s="21"/>
      <c r="AC10" s="21"/>
      <c r="AD10" s="21"/>
      <c r="AMI10" s="5"/>
      <c r="AMJ10" s="5"/>
    </row>
    <row r="11" spans="1:1024" ht="30" x14ac:dyDescent="0.25">
      <c r="N11" s="55" t="s">
        <v>23</v>
      </c>
      <c r="O11" s="56">
        <f>(O10/700)*20+O10</f>
        <v>24771.250285714286</v>
      </c>
      <c r="Q11" s="7"/>
      <c r="R11" s="41" t="s">
        <v>24</v>
      </c>
      <c r="S11" s="41" t="s">
        <v>24</v>
      </c>
      <c r="T11" s="41" t="s">
        <v>24</v>
      </c>
      <c r="U11" s="41" t="s">
        <v>24</v>
      </c>
      <c r="V11" s="42"/>
      <c r="Z11" s="60" t="s">
        <v>25</v>
      </c>
      <c r="AA11" s="61">
        <f>(Z9-AA9)/AA9</f>
        <v>2.9534014747014017E-2</v>
      </c>
    </row>
    <row r="12" spans="1:1024" ht="15.75" x14ac:dyDescent="0.25">
      <c r="N12" s="6"/>
      <c r="O12" s="6"/>
      <c r="R12" s="43">
        <v>10898383.851312</v>
      </c>
      <c r="S12" s="43">
        <f>R12*0.28</f>
        <v>3051547.4783673603</v>
      </c>
      <c r="T12" s="44">
        <f>915922+121000+650000+180000</f>
        <v>1866922</v>
      </c>
      <c r="U12" s="44">
        <v>80000</v>
      </c>
      <c r="V12" s="43">
        <f>R12+S12+T12+U12</f>
        <v>15896853.329679361</v>
      </c>
      <c r="W12" s="43">
        <v>16436331.824346334</v>
      </c>
    </row>
    <row r="13" spans="1:1024" x14ac:dyDescent="0.2">
      <c r="N13" s="6"/>
      <c r="O13" s="6"/>
      <c r="P13" s="5"/>
      <c r="S13" s="5"/>
      <c r="T13" s="5"/>
      <c r="U13" s="5"/>
      <c r="V13" s="5"/>
    </row>
    <row r="14" spans="1:1024" x14ac:dyDescent="0.2">
      <c r="N14" s="6"/>
      <c r="O14" s="6"/>
      <c r="P14" s="5"/>
      <c r="S14" s="5"/>
      <c r="T14" s="5"/>
      <c r="U14" s="5"/>
      <c r="V14" s="5"/>
    </row>
    <row r="15" spans="1:1024" x14ac:dyDescent="0.2">
      <c r="N15" s="6"/>
      <c r="O15" s="6"/>
      <c r="P15" s="5"/>
      <c r="S15" s="5"/>
      <c r="T15" s="5"/>
      <c r="U15" s="5"/>
      <c r="V15" s="5"/>
    </row>
    <row r="16" spans="1:1024" x14ac:dyDescent="0.2">
      <c r="N16" s="6"/>
      <c r="O16" s="6"/>
      <c r="P16" s="5"/>
      <c r="S16" s="45"/>
      <c r="T16" s="5"/>
      <c r="U16" s="5"/>
      <c r="V16" s="5"/>
    </row>
    <row r="17" spans="8:26" x14ac:dyDescent="0.2">
      <c r="N17" s="6"/>
      <c r="O17" s="6"/>
      <c r="P17" s="5"/>
      <c r="S17" s="5"/>
      <c r="T17" s="5"/>
      <c r="U17" s="5"/>
      <c r="V17" s="5"/>
    </row>
    <row r="18" spans="8:26" x14ac:dyDescent="0.2">
      <c r="P18" s="5"/>
      <c r="S18" s="5"/>
      <c r="T18" s="5"/>
      <c r="U18" s="5"/>
      <c r="V18" s="5"/>
    </row>
    <row r="19" spans="8:26" x14ac:dyDescent="0.2">
      <c r="P19" s="5"/>
      <c r="S19" s="5"/>
      <c r="T19" s="5"/>
      <c r="U19" s="5"/>
      <c r="V19" s="5"/>
    </row>
    <row r="20" spans="8:26" x14ac:dyDescent="0.2">
      <c r="P20" s="5"/>
      <c r="S20" s="5"/>
      <c r="T20" s="5"/>
      <c r="U20" s="5"/>
      <c r="V20" s="5"/>
    </row>
    <row r="21" spans="8:26" x14ac:dyDescent="0.2">
      <c r="P21" s="5"/>
      <c r="S21" s="5"/>
      <c r="T21" s="5"/>
      <c r="U21" s="5"/>
      <c r="V21" s="5"/>
    </row>
    <row r="22" spans="8:26" x14ac:dyDescent="0.2">
      <c r="P22" s="5"/>
      <c r="S22" s="5"/>
      <c r="T22" s="5"/>
      <c r="U22" s="5"/>
      <c r="V22" s="5"/>
      <c r="Z22" s="63">
        <f>Z9-AA9</f>
        <v>401468.02959614433</v>
      </c>
    </row>
    <row r="23" spans="8:26" x14ac:dyDescent="0.2">
      <c r="H23" s="62">
        <f>G3*W3</f>
        <v>1224984.5055625897</v>
      </c>
      <c r="I23" s="62">
        <f>G3*X3</f>
        <v>1270080</v>
      </c>
      <c r="P23" s="5"/>
      <c r="S23" s="5"/>
      <c r="T23" s="5"/>
      <c r="U23" s="5"/>
      <c r="V23" s="5"/>
    </row>
    <row r="24" spans="8:26" x14ac:dyDescent="0.2">
      <c r="H24" s="62">
        <f>G4*W4</f>
        <v>1399982.2920715311</v>
      </c>
      <c r="I24" s="62">
        <f>G4*X4</f>
        <v>1416960</v>
      </c>
      <c r="P24" s="5"/>
      <c r="S24" s="5"/>
      <c r="T24" s="5"/>
      <c r="U24" s="5"/>
      <c r="V24" s="5"/>
    </row>
    <row r="25" spans="8:26" x14ac:dyDescent="0.2">
      <c r="H25" s="62">
        <f>SUM(H23:H24)</f>
        <v>2624966.797634121</v>
      </c>
      <c r="I25" s="62">
        <f>SUM(I23:I24)</f>
        <v>2687040</v>
      </c>
      <c r="P25" s="5"/>
      <c r="S25" s="5"/>
      <c r="T25" s="5"/>
      <c r="U25" s="5"/>
      <c r="V25" s="5"/>
    </row>
    <row r="26" spans="8:26" x14ac:dyDescent="0.2">
      <c r="P26" s="5"/>
      <c r="S26" s="5"/>
      <c r="T26" s="5"/>
      <c r="U26" s="5"/>
      <c r="V26" s="5"/>
    </row>
    <row r="27" spans="8:26" x14ac:dyDescent="0.2">
      <c r="P27" s="5"/>
      <c r="S27" s="5"/>
      <c r="T27" s="5"/>
      <c r="U27" s="5"/>
      <c r="V27" s="5"/>
    </row>
    <row r="28" spans="8:26" x14ac:dyDescent="0.2">
      <c r="P28" s="5"/>
      <c r="S28" s="5"/>
      <c r="T28" s="5"/>
      <c r="U28" s="5"/>
      <c r="V28" s="5"/>
    </row>
    <row r="29" spans="8:26" x14ac:dyDescent="0.2">
      <c r="P29" s="5"/>
      <c r="S29" s="5"/>
      <c r="T29" s="5"/>
      <c r="U29" s="5"/>
      <c r="V29" s="5"/>
    </row>
    <row r="30" spans="8:26" x14ac:dyDescent="0.2">
      <c r="P30" s="5"/>
      <c r="S30" s="5"/>
      <c r="T30" s="5"/>
      <c r="U30" s="5"/>
      <c r="V30" s="5"/>
    </row>
    <row r="31" spans="8:26" x14ac:dyDescent="0.2">
      <c r="P31" s="5"/>
      <c r="S31" s="5"/>
      <c r="T31" s="5"/>
      <c r="U31" s="5"/>
      <c r="V31" s="5"/>
    </row>
    <row r="32" spans="8:26" x14ac:dyDescent="0.2">
      <c r="P32" s="5"/>
      <c r="S32" s="5"/>
      <c r="T32" s="5"/>
      <c r="U32" s="5"/>
      <c r="V32" s="5"/>
    </row>
  </sheetData>
  <conditionalFormatting sqref="Y12:Y1048576 Y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F4A5-AD5D-4AF7-B754-BB4AE1CBD7FB}">
  <dimension ref="A1:E11"/>
  <sheetViews>
    <sheetView workbookViewId="0">
      <selection activeCell="N37" sqref="N37"/>
    </sheetView>
  </sheetViews>
  <sheetFormatPr defaultRowHeight="12.75" x14ac:dyDescent="0.2"/>
  <cols>
    <col min="1" max="1" width="16" bestFit="1" customWidth="1"/>
    <col min="2" max="2" width="14.140625" bestFit="1" customWidth="1"/>
    <col min="3" max="3" width="26.7109375" bestFit="1" customWidth="1"/>
    <col min="4" max="4" width="7.28515625" bestFit="1" customWidth="1"/>
    <col min="5" max="5" width="11.5703125" customWidth="1"/>
    <col min="6" max="6" width="7.140625" bestFit="1" customWidth="1"/>
    <col min="7" max="7" width="7.85546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43</v>
      </c>
    </row>
    <row r="2" spans="1:5" x14ac:dyDescent="0.2">
      <c r="A2" t="s">
        <v>31</v>
      </c>
      <c r="B2" t="s">
        <v>36</v>
      </c>
      <c r="C2" t="s">
        <v>38</v>
      </c>
      <c r="D2">
        <v>1</v>
      </c>
      <c r="E2">
        <v>360</v>
      </c>
    </row>
    <row r="3" spans="1:5" x14ac:dyDescent="0.2">
      <c r="A3" t="s">
        <v>32</v>
      </c>
      <c r="B3" t="s">
        <v>37</v>
      </c>
      <c r="C3" t="s">
        <v>39</v>
      </c>
      <c r="D3">
        <v>1</v>
      </c>
      <c r="E3">
        <v>15120</v>
      </c>
    </row>
    <row r="4" spans="1:5" x14ac:dyDescent="0.2">
      <c r="A4">
        <v>83212465843</v>
      </c>
      <c r="B4" t="s">
        <v>22</v>
      </c>
      <c r="C4" t="s">
        <v>40</v>
      </c>
      <c r="D4">
        <v>1</v>
      </c>
      <c r="E4">
        <v>3480</v>
      </c>
    </row>
    <row r="5" spans="1:5" x14ac:dyDescent="0.2">
      <c r="A5" t="s">
        <v>33</v>
      </c>
      <c r="B5" t="s">
        <v>22</v>
      </c>
      <c r="C5" t="s">
        <v>41</v>
      </c>
      <c r="D5">
        <v>1</v>
      </c>
      <c r="E5">
        <v>348</v>
      </c>
    </row>
    <row r="6" spans="1:5" x14ac:dyDescent="0.2">
      <c r="A6" t="s">
        <v>34</v>
      </c>
      <c r="B6" t="s">
        <v>22</v>
      </c>
      <c r="C6" t="s">
        <v>42</v>
      </c>
      <c r="D6">
        <v>1</v>
      </c>
      <c r="E6">
        <v>192</v>
      </c>
    </row>
    <row r="7" spans="1:5" x14ac:dyDescent="0.2">
      <c r="A7" t="s">
        <v>35</v>
      </c>
      <c r="B7" t="s">
        <v>36</v>
      </c>
      <c r="C7" t="s">
        <v>38</v>
      </c>
      <c r="D7">
        <v>4</v>
      </c>
      <c r="E7">
        <v>396</v>
      </c>
    </row>
    <row r="11" spans="1:5" x14ac:dyDescent="0.2">
      <c r="A11" t="s">
        <v>44</v>
      </c>
      <c r="B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ФПЗ_Э6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2026-05-20T14:01:13Z</dcterms:modified>
  <dc:language>ru-RU</dc:language>
</cp:coreProperties>
</file>