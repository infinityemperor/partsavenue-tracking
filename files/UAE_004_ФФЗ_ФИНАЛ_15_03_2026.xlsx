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5\UAE\UAE#4\"/>
    </mc:Choice>
  </mc:AlternateContent>
  <xr:revisionPtr revIDLastSave="0" documentId="13_ncr:1_{0BBD11C1-5CC7-479E-8E36-65D16BD93240}" xr6:coauthVersionLast="47" xr6:coauthVersionMax="47" xr10:uidLastSave="{00000000-0000-0000-0000-000000000000}"/>
  <bookViews>
    <workbookView xWindow="3510" yWindow="3510" windowWidth="31710" windowHeight="14475" xr2:uid="{00000000-000D-0000-FFFF-FFFF00000000}"/>
  </bookViews>
  <sheets>
    <sheet name="ФПЗ_Э4" sheetId="1" r:id="rId1"/>
    <sheet name="Sheet1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1" l="1"/>
  <c r="P21" i="1"/>
  <c r="T14" i="1" l="1"/>
  <c r="Q14" i="1"/>
  <c r="J2" i="2" l="1"/>
  <c r="J8" i="2"/>
  <c r="H8" i="2"/>
  <c r="J7" i="2"/>
  <c r="H7" i="2"/>
  <c r="J6" i="2"/>
  <c r="H6" i="2"/>
  <c r="F5" i="2"/>
  <c r="J5" i="2" s="1"/>
  <c r="F4" i="2"/>
  <c r="H4" i="2" s="1"/>
  <c r="J3" i="2"/>
  <c r="H3" i="2"/>
  <c r="F2" i="2"/>
  <c r="L2" i="1"/>
  <c r="L3" i="1"/>
  <c r="L5" i="1"/>
  <c r="L6" i="1"/>
  <c r="L7" i="1"/>
  <c r="L8" i="1"/>
  <c r="E5" i="1"/>
  <c r="X5" i="1" s="1"/>
  <c r="E4" i="1"/>
  <c r="X4" i="1" s="1"/>
  <c r="E2" i="1"/>
  <c r="X2" i="1" s="1"/>
  <c r="K3" i="1"/>
  <c r="O3" i="1" s="1"/>
  <c r="K4" i="1"/>
  <c r="O4" i="1" s="1"/>
  <c r="K5" i="1"/>
  <c r="O5" i="1" s="1"/>
  <c r="K6" i="1"/>
  <c r="O6" i="1" s="1"/>
  <c r="K7" i="1"/>
  <c r="O7" i="1" s="1"/>
  <c r="K8" i="1"/>
  <c r="K2" i="1"/>
  <c r="M8" i="1"/>
  <c r="I8" i="1"/>
  <c r="X3" i="1"/>
  <c r="X6" i="1"/>
  <c r="X7" i="1"/>
  <c r="X8" i="1"/>
  <c r="I7" i="1"/>
  <c r="M6" i="1"/>
  <c r="I6" i="1"/>
  <c r="M3" i="1"/>
  <c r="I3" i="1"/>
  <c r="L4" i="1" l="1"/>
  <c r="L12" i="1" s="1"/>
  <c r="J4" i="2"/>
  <c r="H2" i="2"/>
  <c r="H5" i="2"/>
  <c r="X9" i="1"/>
  <c r="I4" i="1"/>
  <c r="M4" i="1"/>
  <c r="O8" i="1"/>
  <c r="G2" i="1"/>
  <c r="M5" i="1"/>
  <c r="I5" i="1"/>
  <c r="M2" i="1"/>
  <c r="I2" i="1"/>
  <c r="E12" i="1"/>
  <c r="O2" i="1"/>
  <c r="M7" i="1"/>
  <c r="M12" i="1" l="1"/>
  <c r="R3" i="1" s="1"/>
  <c r="I12" i="1"/>
  <c r="P8" i="1" l="1"/>
  <c r="P2" i="1"/>
  <c r="R2" i="1"/>
  <c r="S5" i="1"/>
  <c r="P5" i="1"/>
  <c r="S6" i="1"/>
  <c r="R4" i="1"/>
  <c r="R6" i="1"/>
  <c r="S3" i="1"/>
  <c r="S4" i="1"/>
  <c r="R5" i="1"/>
  <c r="S2" i="1"/>
  <c r="S12" i="1" s="1"/>
  <c r="M13" i="1"/>
  <c r="R8" i="1"/>
  <c r="S8" i="1"/>
  <c r="R7" i="1"/>
  <c r="S7" i="1"/>
  <c r="P6" i="1"/>
  <c r="P3" i="1"/>
  <c r="P7" i="1"/>
  <c r="P4" i="1"/>
  <c r="Q8" i="1"/>
  <c r="Q7" i="1"/>
  <c r="Q3" i="1"/>
  <c r="Q4" i="1"/>
  <c r="Q6" i="1"/>
  <c r="R12" i="1" l="1"/>
  <c r="P12" i="1"/>
  <c r="Q5" i="1"/>
  <c r="T5" i="1" s="1"/>
  <c r="U5" i="1" s="1"/>
  <c r="W5" i="1" s="1"/>
  <c r="Q2" i="1"/>
  <c r="T2" i="1" s="1"/>
  <c r="T3" i="1"/>
  <c r="U3" i="1" s="1"/>
  <c r="W3" i="1" s="1"/>
  <c r="T6" i="1"/>
  <c r="U6" i="1" s="1"/>
  <c r="Y6" i="1" s="1"/>
  <c r="T4" i="1"/>
  <c r="U4" i="1" s="1"/>
  <c r="Y4" i="1" s="1"/>
  <c r="T7" i="1"/>
  <c r="U7" i="1" s="1"/>
  <c r="W7" i="1" s="1"/>
  <c r="T8" i="1"/>
  <c r="U8" i="1" s="1"/>
  <c r="W8" i="1" s="1"/>
  <c r="Q12" i="1" l="1"/>
  <c r="U2" i="1"/>
  <c r="Y2" i="1" s="1"/>
  <c r="T12" i="1"/>
  <c r="W4" i="1"/>
  <c r="Y8" i="1"/>
  <c r="Y5" i="1"/>
  <c r="Y7" i="1"/>
  <c r="W6" i="1"/>
  <c r="Y3" i="1"/>
  <c r="W2" i="1" l="1"/>
  <c r="Y9" i="1"/>
  <c r="Y13" i="1" s="1"/>
</calcChain>
</file>

<file path=xl/sharedStrings.xml><?xml version="1.0" encoding="utf-8"?>
<sst xmlns="http://schemas.openxmlformats.org/spreadsheetml/2006/main" count="90" uniqueCount="51">
  <si>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</si>
  <si>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</si>
  <si>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</si>
  <si>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</si>
  <si>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</si>
  <si>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</si>
  <si>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</si>
  <si>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</si>
  <si>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</si>
  <si>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</si>
  <si>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</si>
  <si>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</si>
  <si>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</si>
  <si>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</si>
  <si>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</si>
  <si>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</si>
  <si>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</si>
  <si>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</si>
  <si>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</si>
  <si>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</si>
  <si>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</si>
  <si>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</si>
  <si>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0450000115</t>
  </si>
  <si>
    <t>Hyundai/Kia</t>
  </si>
  <si>
    <t>HYUNDAI ATF SP-IV (1л) 0450000115 Масло трансмиссионное, шт</t>
  </si>
  <si>
    <t>BMW</t>
  </si>
  <si>
    <t>83212465843</t>
  </si>
  <si>
    <t>Моторное масло BMW TwinPower Turbo Longlife-01 5W-30 кан. 1л</t>
  </si>
  <si>
    <t>Общий вес с паллетами</t>
  </si>
  <si>
    <t>введите</t>
  </si>
  <si>
    <t xml:space="preserve">Ожидаемый % рент. </t>
  </si>
  <si>
    <t>MERCEDES-BENZ Genuine MB 229.52 5W-30</t>
  </si>
  <si>
    <t>A000989671011FBDW</t>
  </si>
  <si>
    <t>MERSEDES-BENZ</t>
  </si>
  <si>
    <t>Mitsubishi</t>
  </si>
  <si>
    <t>ENG OIL 5W30 (SN) FS (MZ320864)</t>
  </si>
  <si>
    <t>ENG OIL 5W30 (SN) FS (MZ320863)</t>
  </si>
  <si>
    <t>MZ321233</t>
  </si>
  <si>
    <t>MZ321232</t>
  </si>
  <si>
    <t>4024610</t>
  </si>
  <si>
    <t>MITSUBISHI ATF SP-III</t>
  </si>
  <si>
    <t>601429774</t>
  </si>
  <si>
    <t>Fucsh</t>
  </si>
  <si>
    <t>Цена за ШТ (Закупка в валюте поставщика) + КМ</t>
  </si>
  <si>
    <t>До корректировки</t>
  </si>
  <si>
    <t>Разница</t>
  </si>
  <si>
    <t>Total CHF 11S</t>
  </si>
  <si>
    <t>Тип</t>
  </si>
  <si>
    <t>Трансмиссионое</t>
  </si>
  <si>
    <t>Моторное</t>
  </si>
  <si>
    <t>ГУР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</si>
</sst>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8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left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49" fontId="12" fillId="0" borderId="4" xfId="0" applyNumberFormat="1" applyFont="1" applyBorder="1" applyAlignment="1" applyProtection="1">
      <alignment horizontal="center" vertic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166" fontId="2" fillId="0" borderId="0" xfId="0" applyNumberFormat="1" applyFont="1" applyAlignment="1" applyProtection="1">
      <alignment horizont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34"/>
  <sheetViews>
    <sheetView tabSelected="1" zoomScale="85" workbookViewId="0">
      <pane xSplit="5" ySplit="1" topLeftCell="U2" activePane="bottomRight" state="frozen"/>
      <selection sqref="A1:H5"/>
      <selection pane="topRight"/>
      <selection pane="bottomLeft"/>
      <selection pane="bottomRight" activeCell="V5" sqref="V5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20" style="5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44</v>
      </c>
      <c r="G1" s="12" t="s">
        <v>45</v>
      </c>
      <c r="H1" s="10" t="s">
        <v>5</v>
      </c>
      <c r="I1" s="10" t="s">
        <v>6</v>
      </c>
      <c r="J1" s="10" t="s">
        <v>7</v>
      </c>
      <c r="K1" s="10" t="s">
        <v>43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31.5" x14ac:dyDescent="0.25">
      <c r="A2" s="23" t="s">
        <v>22</v>
      </c>
      <c r="B2" s="24" t="s">
        <v>23</v>
      </c>
      <c r="C2" s="25" t="s">
        <v>24</v>
      </c>
      <c r="D2" s="26">
        <v>1</v>
      </c>
      <c r="E2" s="26">
        <f>1008*11</f>
        <v>11088</v>
      </c>
      <c r="F2" s="26">
        <v>10080</v>
      </c>
      <c r="G2" s="26">
        <f>E2-F2</f>
        <v>1008</v>
      </c>
      <c r="H2" s="26">
        <v>24</v>
      </c>
      <c r="I2" s="26">
        <f t="shared" ref="I2:I8" si="0">E2/H2</f>
        <v>462</v>
      </c>
      <c r="J2" s="27">
        <v>5.2</v>
      </c>
      <c r="K2" s="27">
        <f>J2+17/N2</f>
        <v>5.4011834319526626</v>
      </c>
      <c r="L2" s="27">
        <f>J2*E2</f>
        <v>57657.599999999999</v>
      </c>
      <c r="M2" s="28">
        <f t="shared" ref="M2:M8" si="1">D2*E2*0.97</f>
        <v>10755.36</v>
      </c>
      <c r="N2" s="24">
        <v>84.5</v>
      </c>
      <c r="O2" s="29">
        <f t="shared" ref="O2:O6" si="2">K2*N2*1.0425</f>
        <v>475.79699999999997</v>
      </c>
      <c r="P2" s="29">
        <f t="shared" ref="P2:P8" si="3">$P$14/$L$12*L2</f>
        <v>5023132.9477549782</v>
      </c>
      <c r="Q2" s="29">
        <f t="shared" ref="Q2:Q8" si="4">$Q$14/$L$12*L2</f>
        <v>1419734.1797475081</v>
      </c>
      <c r="R2" s="29">
        <f t="shared" ref="R2:R8" si="5">$R$14/$M$12*M2</f>
        <v>631925.32082771906</v>
      </c>
      <c r="S2" s="29">
        <f t="shared" ref="S2:S8" si="6">$S$14/$M$12*M2</f>
        <v>17786.333012512034</v>
      </c>
      <c r="T2" s="29">
        <f t="shared" ref="T2:T8" si="7">P2+Q2+R2+S2</f>
        <v>7092578.7813427169</v>
      </c>
      <c r="U2" s="30">
        <f t="shared" ref="U2:U8" si="8">IFERROR(SUM(T2/E2),"")</f>
        <v>639.66258850493477</v>
      </c>
      <c r="V2" s="31">
        <v>750</v>
      </c>
      <c r="W2" s="32">
        <f t="shared" ref="W2:W8" si="9">IFERROR((V2-U2)/U2,"")</f>
        <v>0.17249314478896402</v>
      </c>
      <c r="X2" s="33">
        <f t="shared" ref="X2:X8" si="10">V2*E2</f>
        <v>8316000</v>
      </c>
      <c r="Y2" s="33">
        <f t="shared" ref="Y2:Y8" si="11">IFERROR(U2*E2,"")</f>
        <v>7092578.7813427169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30" customHeight="1" x14ac:dyDescent="0.25">
      <c r="A3" s="23" t="s">
        <v>32</v>
      </c>
      <c r="B3" s="24" t="s">
        <v>33</v>
      </c>
      <c r="C3" s="25" t="s">
        <v>31</v>
      </c>
      <c r="D3" s="26">
        <v>1</v>
      </c>
      <c r="E3" s="26">
        <v>1440</v>
      </c>
      <c r="F3" s="26"/>
      <c r="G3" s="26"/>
      <c r="H3" s="26">
        <v>12</v>
      </c>
      <c r="I3" s="26">
        <f t="shared" si="0"/>
        <v>120</v>
      </c>
      <c r="J3" s="27">
        <v>7.66</v>
      </c>
      <c r="K3" s="27">
        <f t="shared" ref="K3:K8" si="12">J3+17/N3</f>
        <v>7.8611834319526626</v>
      </c>
      <c r="L3" s="27">
        <f t="shared" ref="L3:L8" si="13">J3*E3</f>
        <v>11030.4</v>
      </c>
      <c r="M3" s="28">
        <f t="shared" si="1"/>
        <v>1396.8</v>
      </c>
      <c r="N3" s="24">
        <v>84.5</v>
      </c>
      <c r="O3" s="29">
        <f t="shared" si="2"/>
        <v>692.50147499999991</v>
      </c>
      <c r="P3" s="29">
        <f t="shared" si="3"/>
        <v>960968.9905045738</v>
      </c>
      <c r="Q3" s="29">
        <f t="shared" si="4"/>
        <v>271607.48793371412</v>
      </c>
      <c r="R3" s="29">
        <f t="shared" si="5"/>
        <v>82068.223484119357</v>
      </c>
      <c r="S3" s="29">
        <f t="shared" si="6"/>
        <v>2309.9133782483159</v>
      </c>
      <c r="T3" s="29">
        <f t="shared" si="7"/>
        <v>1316954.6153006556</v>
      </c>
      <c r="U3" s="30">
        <f t="shared" si="8"/>
        <v>914.55181618101085</v>
      </c>
      <c r="V3" s="31">
        <v>960</v>
      </c>
      <c r="W3" s="32">
        <f t="shared" si="9"/>
        <v>4.9694487523705172E-2</v>
      </c>
      <c r="X3" s="33">
        <f t="shared" si="10"/>
        <v>1382400</v>
      </c>
      <c r="Y3" s="33">
        <f t="shared" si="11"/>
        <v>1316954.6153006556</v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31.5" x14ac:dyDescent="0.25">
      <c r="A4" s="23" t="s">
        <v>26</v>
      </c>
      <c r="B4" s="24" t="s">
        <v>25</v>
      </c>
      <c r="C4" s="25" t="s">
        <v>27</v>
      </c>
      <c r="D4" s="26">
        <v>1</v>
      </c>
      <c r="E4" s="26">
        <f>576*9</f>
        <v>5184</v>
      </c>
      <c r="F4" s="26"/>
      <c r="G4" s="26"/>
      <c r="H4" s="26">
        <v>12</v>
      </c>
      <c r="I4" s="26">
        <f t="shared" si="0"/>
        <v>432</v>
      </c>
      <c r="J4" s="27">
        <v>6.83</v>
      </c>
      <c r="K4" s="27">
        <f t="shared" si="12"/>
        <v>7.0311834319526625</v>
      </c>
      <c r="L4" s="27">
        <f t="shared" si="13"/>
        <v>35406.720000000001</v>
      </c>
      <c r="M4" s="28">
        <f t="shared" si="1"/>
        <v>5028.4799999999996</v>
      </c>
      <c r="N4" s="24">
        <v>84.5</v>
      </c>
      <c r="O4" s="29">
        <f t="shared" si="2"/>
        <v>619.3857375</v>
      </c>
      <c r="P4" s="29">
        <f t="shared" si="3"/>
        <v>3084635.1877971883</v>
      </c>
      <c r="Q4" s="29">
        <f t="shared" si="4"/>
        <v>871838.76152926404</v>
      </c>
      <c r="R4" s="29">
        <f t="shared" si="5"/>
        <v>295445.60454282968</v>
      </c>
      <c r="S4" s="29">
        <f t="shared" si="6"/>
        <v>8315.6881616939372</v>
      </c>
      <c r="T4" s="29">
        <f t="shared" si="7"/>
        <v>4260235.2420309754</v>
      </c>
      <c r="U4" s="30">
        <f t="shared" si="8"/>
        <v>821.80463773745669</v>
      </c>
      <c r="V4" s="31">
        <v>990</v>
      </c>
      <c r="W4" s="32">
        <f t="shared" si="9"/>
        <v>0.20466587135065178</v>
      </c>
      <c r="X4" s="33">
        <f t="shared" si="10"/>
        <v>5132160</v>
      </c>
      <c r="Y4" s="33">
        <f t="shared" si="11"/>
        <v>4260235.2420309754</v>
      </c>
      <c r="Z4" s="21"/>
      <c r="AA4" s="21"/>
      <c r="AB4" s="21"/>
    </row>
    <row r="5" spans="1:1022" ht="15.75" x14ac:dyDescent="0.25">
      <c r="A5" s="63" t="s">
        <v>38</v>
      </c>
      <c r="B5" s="59" t="s">
        <v>34</v>
      </c>
      <c r="C5" s="25" t="s">
        <v>35</v>
      </c>
      <c r="D5" s="26">
        <v>4</v>
      </c>
      <c r="E5" s="26">
        <f>288+144+144</f>
        <v>576</v>
      </c>
      <c r="F5" s="26"/>
      <c r="G5" s="26"/>
      <c r="H5" s="26">
        <v>6</v>
      </c>
      <c r="I5" s="26">
        <f t="shared" si="0"/>
        <v>96</v>
      </c>
      <c r="J5" s="27">
        <v>14.71</v>
      </c>
      <c r="K5" s="27">
        <f t="shared" si="12"/>
        <v>14.911183431952663</v>
      </c>
      <c r="L5" s="27">
        <f t="shared" si="13"/>
        <v>8472.9600000000009</v>
      </c>
      <c r="M5" s="28">
        <f t="shared" si="1"/>
        <v>2234.88</v>
      </c>
      <c r="N5" s="24">
        <v>84.5</v>
      </c>
      <c r="O5" s="29">
        <f t="shared" si="2"/>
        <v>1313.5447875000002</v>
      </c>
      <c r="P5" s="29">
        <f t="shared" si="3"/>
        <v>738164.69192283461</v>
      </c>
      <c r="Q5" s="29">
        <f t="shared" si="4"/>
        <v>208634.26357728121</v>
      </c>
      <c r="R5" s="29">
        <f t="shared" si="5"/>
        <v>131309.15757459099</v>
      </c>
      <c r="S5" s="29">
        <f t="shared" si="6"/>
        <v>3695.8614051973059</v>
      </c>
      <c r="T5" s="29">
        <f t="shared" si="7"/>
        <v>1081803.9744799042</v>
      </c>
      <c r="U5" s="30">
        <f t="shared" si="8"/>
        <v>1878.1319001387226</v>
      </c>
      <c r="V5" s="31">
        <v>2380</v>
      </c>
      <c r="W5" s="32">
        <f t="shared" si="9"/>
        <v>0.26721664214542568</v>
      </c>
      <c r="X5" s="33">
        <f t="shared" si="10"/>
        <v>1370880</v>
      </c>
      <c r="Y5" s="33">
        <f t="shared" si="11"/>
        <v>1081803.9744799042</v>
      </c>
      <c r="Z5" s="21"/>
      <c r="AA5" s="21"/>
      <c r="AB5" s="21"/>
    </row>
    <row r="6" spans="1:1022" ht="15.75" x14ac:dyDescent="0.25">
      <c r="A6" s="23" t="s">
        <v>37</v>
      </c>
      <c r="B6" s="59" t="s">
        <v>34</v>
      </c>
      <c r="C6" s="60" t="s">
        <v>36</v>
      </c>
      <c r="D6" s="26">
        <v>1</v>
      </c>
      <c r="E6" s="26">
        <v>1440</v>
      </c>
      <c r="F6" s="26"/>
      <c r="G6" s="26"/>
      <c r="H6" s="26">
        <v>24</v>
      </c>
      <c r="I6" s="26">
        <f t="shared" si="0"/>
        <v>60</v>
      </c>
      <c r="J6" s="27">
        <v>4.21</v>
      </c>
      <c r="K6" s="27">
        <f t="shared" si="12"/>
        <v>4.4111834319526624</v>
      </c>
      <c r="L6" s="27">
        <f t="shared" si="13"/>
        <v>6062.4</v>
      </c>
      <c r="M6" s="28">
        <f t="shared" si="1"/>
        <v>1396.8</v>
      </c>
      <c r="N6" s="24">
        <v>84.5</v>
      </c>
      <c r="O6" s="29">
        <f t="shared" si="2"/>
        <v>388.58666249999993</v>
      </c>
      <c r="P6" s="29">
        <f t="shared" si="3"/>
        <v>528156.58616504644</v>
      </c>
      <c r="Q6" s="29">
        <f t="shared" si="4"/>
        <v>149277.7446737515</v>
      </c>
      <c r="R6" s="29">
        <f t="shared" si="5"/>
        <v>82068.223484119357</v>
      </c>
      <c r="S6" s="29">
        <f t="shared" si="6"/>
        <v>2309.9133782483159</v>
      </c>
      <c r="T6" s="29">
        <f t="shared" si="7"/>
        <v>761812.4677011657</v>
      </c>
      <c r="U6" s="30">
        <f t="shared" si="8"/>
        <v>529.03643590358729</v>
      </c>
      <c r="V6" s="31">
        <v>635</v>
      </c>
      <c r="W6" s="32">
        <f t="shared" si="9"/>
        <v>0.20029539915417799</v>
      </c>
      <c r="X6" s="33">
        <f t="shared" si="10"/>
        <v>914400</v>
      </c>
      <c r="Y6" s="33">
        <f t="shared" si="11"/>
        <v>761812.4677011657</v>
      </c>
      <c r="Z6" s="21"/>
      <c r="AA6" s="21"/>
      <c r="AB6" s="21"/>
    </row>
    <row r="7" spans="1:1022" ht="15.75" x14ac:dyDescent="0.25">
      <c r="A7" s="63" t="s">
        <v>39</v>
      </c>
      <c r="B7" s="59" t="s">
        <v>34</v>
      </c>
      <c r="C7" s="25" t="s">
        <v>40</v>
      </c>
      <c r="D7" s="26">
        <v>4</v>
      </c>
      <c r="E7" s="26">
        <v>720</v>
      </c>
      <c r="F7" s="26"/>
      <c r="G7" s="26"/>
      <c r="H7" s="26">
        <v>6</v>
      </c>
      <c r="I7" s="26">
        <f t="shared" si="0"/>
        <v>120</v>
      </c>
      <c r="J7" s="27">
        <v>22.5</v>
      </c>
      <c r="K7" s="27">
        <f t="shared" si="12"/>
        <v>22.701183431952664</v>
      </c>
      <c r="L7" s="27">
        <f t="shared" si="13"/>
        <v>16200</v>
      </c>
      <c r="M7" s="28">
        <f t="shared" si="1"/>
        <v>2793.6</v>
      </c>
      <c r="N7" s="24">
        <v>84.5</v>
      </c>
      <c r="O7" s="29">
        <f t="shared" ref="O7" si="14">K7*N7*1.0425</f>
        <v>1999.7756250000002</v>
      </c>
      <c r="P7" s="29">
        <f t="shared" si="3"/>
        <v>1411344.7967593283</v>
      </c>
      <c r="Q7" s="29">
        <f t="shared" si="4"/>
        <v>398901.33671726944</v>
      </c>
      <c r="R7" s="29">
        <f t="shared" si="5"/>
        <v>164136.44696823871</v>
      </c>
      <c r="S7" s="29">
        <f t="shared" si="6"/>
        <v>4619.8267564966318</v>
      </c>
      <c r="T7" s="29">
        <f t="shared" si="7"/>
        <v>1979002.4072013332</v>
      </c>
      <c r="U7" s="30">
        <f t="shared" si="8"/>
        <v>2748.6144544462959</v>
      </c>
      <c r="V7" s="31">
        <v>2960</v>
      </c>
      <c r="W7" s="32">
        <f t="shared" si="9"/>
        <v>7.6906219135883649E-2</v>
      </c>
      <c r="X7" s="33">
        <f t="shared" si="10"/>
        <v>2131200</v>
      </c>
      <c r="Y7" s="33">
        <f t="shared" si="11"/>
        <v>1979002.407201333</v>
      </c>
      <c r="Z7" s="21"/>
      <c r="AA7" s="21"/>
      <c r="AB7" s="21"/>
    </row>
    <row r="8" spans="1:1022" ht="15.75" x14ac:dyDescent="0.25">
      <c r="A8" s="23" t="s">
        <v>41</v>
      </c>
      <c r="B8" s="59" t="s">
        <v>42</v>
      </c>
      <c r="C8" s="25" t="s">
        <v>46</v>
      </c>
      <c r="D8" s="26">
        <v>1</v>
      </c>
      <c r="E8" s="26">
        <v>600</v>
      </c>
      <c r="F8" s="26"/>
      <c r="G8" s="26"/>
      <c r="H8" s="26">
        <v>12</v>
      </c>
      <c r="I8" s="26">
        <f t="shared" si="0"/>
        <v>50</v>
      </c>
      <c r="J8" s="27">
        <v>10</v>
      </c>
      <c r="K8" s="27">
        <f t="shared" si="12"/>
        <v>10.201183431952662</v>
      </c>
      <c r="L8" s="27">
        <f t="shared" si="13"/>
        <v>6000</v>
      </c>
      <c r="M8" s="28">
        <f t="shared" si="1"/>
        <v>582</v>
      </c>
      <c r="N8" s="24">
        <v>84.5</v>
      </c>
      <c r="O8" s="29">
        <f t="shared" ref="O8" si="15">K8*N8*1.0425</f>
        <v>898.63499999999999</v>
      </c>
      <c r="P8" s="29">
        <f t="shared" si="3"/>
        <v>522720.29509604757</v>
      </c>
      <c r="Q8" s="29">
        <f t="shared" si="4"/>
        <v>147741.2358212109</v>
      </c>
      <c r="R8" s="29">
        <f t="shared" si="5"/>
        <v>34195.093118383069</v>
      </c>
      <c r="S8" s="29">
        <f t="shared" si="6"/>
        <v>962.46390760346503</v>
      </c>
      <c r="T8" s="29">
        <f t="shared" si="7"/>
        <v>705619.08794324496</v>
      </c>
      <c r="U8" s="30">
        <f t="shared" si="8"/>
        <v>1176.0318132387415</v>
      </c>
      <c r="V8" s="31">
        <v>1500</v>
      </c>
      <c r="W8" s="32">
        <f t="shared" si="9"/>
        <v>0.27547569981892234</v>
      </c>
      <c r="X8" s="33">
        <f t="shared" si="10"/>
        <v>900000</v>
      </c>
      <c r="Y8" s="33">
        <f t="shared" si="11"/>
        <v>705619.08794324496</v>
      </c>
      <c r="Z8" s="21"/>
      <c r="AA8" s="21"/>
      <c r="AB8" s="21"/>
    </row>
    <row r="9" spans="1:1022" ht="15.75" x14ac:dyDescent="0.25">
      <c r="A9" s="47"/>
      <c r="B9" s="48"/>
      <c r="C9" s="49"/>
      <c r="D9" s="50"/>
      <c r="E9" s="50"/>
      <c r="F9" s="50"/>
      <c r="G9" s="50"/>
      <c r="H9" s="50"/>
      <c r="I9" s="50"/>
      <c r="J9" s="50"/>
      <c r="K9" s="51"/>
      <c r="L9" s="51"/>
      <c r="M9" s="58"/>
      <c r="N9" s="48"/>
      <c r="O9" s="52"/>
      <c r="P9" s="52"/>
      <c r="Q9" s="52"/>
      <c r="R9" s="52"/>
      <c r="S9" s="34"/>
      <c r="T9" s="52"/>
      <c r="U9" s="53"/>
      <c r="V9" s="58"/>
      <c r="W9" s="54"/>
      <c r="X9" s="64">
        <f>SUM(X2:X8)</f>
        <v>20147040</v>
      </c>
      <c r="Y9" s="64">
        <f>SUM(Y2:Y8)</f>
        <v>17198006.575999998</v>
      </c>
      <c r="Z9" s="21"/>
      <c r="AA9" s="21"/>
      <c r="AB9" s="21"/>
    </row>
    <row r="10" spans="1:1022" ht="15.75" x14ac:dyDescent="0.25">
      <c r="A10" s="47"/>
      <c r="B10" s="48"/>
      <c r="C10" s="49"/>
      <c r="D10" s="50"/>
      <c r="E10" s="50"/>
      <c r="F10" s="50"/>
      <c r="G10" s="50"/>
      <c r="H10" s="50"/>
      <c r="I10" s="50"/>
      <c r="J10" s="50"/>
      <c r="K10" s="51"/>
      <c r="L10" s="51"/>
      <c r="M10" s="58"/>
      <c r="N10" s="48"/>
      <c r="O10" s="52"/>
      <c r="P10" s="52"/>
      <c r="Q10" s="52"/>
      <c r="R10" s="52"/>
      <c r="S10" s="34"/>
      <c r="T10" s="52"/>
      <c r="U10" s="53"/>
      <c r="V10" s="58"/>
      <c r="W10" s="54"/>
      <c r="X10" s="55"/>
      <c r="Y10" s="55"/>
      <c r="Z10" s="21"/>
      <c r="AA10" s="21"/>
      <c r="AB10" s="21"/>
    </row>
    <row r="11" spans="1:1022" ht="15.75" x14ac:dyDescent="0.25">
      <c r="A11" s="47"/>
      <c r="B11" s="48"/>
      <c r="C11" s="49"/>
      <c r="D11" s="50"/>
      <c r="E11" s="50"/>
      <c r="F11" s="50"/>
      <c r="G11" s="50"/>
      <c r="H11" s="50"/>
      <c r="I11" s="50"/>
      <c r="J11" s="50"/>
      <c r="K11" s="51"/>
      <c r="L11" s="51"/>
      <c r="M11" s="58"/>
      <c r="N11" s="48"/>
      <c r="O11" s="52"/>
      <c r="P11" s="52"/>
      <c r="Q11" s="52"/>
      <c r="R11" s="52"/>
      <c r="S11" s="34"/>
      <c r="T11" s="52"/>
      <c r="U11" s="53"/>
      <c r="V11" s="58"/>
      <c r="W11" s="54"/>
      <c r="X11" s="55"/>
      <c r="Y11" s="55"/>
      <c r="Z11" s="21"/>
      <c r="AA11" s="21"/>
      <c r="AB11" s="21"/>
    </row>
    <row r="12" spans="1:1022" ht="15.75" x14ac:dyDescent="0.25">
      <c r="A12" s="35"/>
      <c r="B12" s="36"/>
      <c r="C12" s="36"/>
      <c r="D12" s="37"/>
      <c r="E12" s="38">
        <f>SUM(E2:E8)</f>
        <v>21048</v>
      </c>
      <c r="F12" s="38"/>
      <c r="G12" s="38"/>
      <c r="H12" s="39"/>
      <c r="I12" s="38">
        <f>SUM(I2:I8)</f>
        <v>1340</v>
      </c>
      <c r="J12" s="38"/>
      <c r="K12" s="39"/>
      <c r="L12" s="61">
        <f>SUMIF(L2:L8,"&lt;&gt;#ДЕЛ/0!")</f>
        <v>140830.08000000002</v>
      </c>
      <c r="M12" s="62">
        <f>SUM(M2:M8)</f>
        <v>24187.919999999998</v>
      </c>
      <c r="O12" s="7"/>
      <c r="P12" s="40">
        <f>SUMIF(P2:P8,"&lt;&gt;#ДЕЛ/0!")</f>
        <v>12269123.495999996</v>
      </c>
      <c r="Q12" s="40">
        <f>SUMIF(Q2:Q8,"&lt;&gt;#ДЕЛ/0!")</f>
        <v>3467735.0099999988</v>
      </c>
      <c r="R12" s="40">
        <f>SUMIF(R2:R8,"&lt;&gt;#ДЕЛ/0!")</f>
        <v>1421148.0700000003</v>
      </c>
      <c r="S12" s="40">
        <f>SUMIF(S2:S8,"&lt;&gt;#ДЕЛ/0!")</f>
        <v>40000.000000000007</v>
      </c>
      <c r="T12" s="40">
        <f>SUMIF(T2:T8,"&lt;&gt;#ДЕЛ/0!")</f>
        <v>17198006.575999998</v>
      </c>
      <c r="U12" s="41"/>
      <c r="V12" s="21"/>
      <c r="Y12" s="21"/>
      <c r="Z12" s="21"/>
      <c r="AA12" s="21"/>
      <c r="AB12" s="21"/>
      <c r="AMG12" s="5"/>
      <c r="AMH12" s="5"/>
    </row>
    <row r="13" spans="1:1022" ht="30" x14ac:dyDescent="0.25">
      <c r="L13" s="56" t="s">
        <v>28</v>
      </c>
      <c r="M13" s="57">
        <f>(M12/700)*20+M12</f>
        <v>24879.003428571428</v>
      </c>
      <c r="O13" s="7"/>
      <c r="P13" s="42" t="s">
        <v>29</v>
      </c>
      <c r="Q13" s="42" t="s">
        <v>29</v>
      </c>
      <c r="R13" s="42" t="s">
        <v>29</v>
      </c>
      <c r="S13" s="42" t="s">
        <v>29</v>
      </c>
      <c r="T13" s="43"/>
      <c r="X13" s="65" t="s">
        <v>30</v>
      </c>
      <c r="Y13" s="66">
        <f>(X9-Y9)/Y9</f>
        <v>0.17147530505747161</v>
      </c>
    </row>
    <row r="14" spans="1:1022" ht="15.75" x14ac:dyDescent="0.25">
      <c r="L14" s="6"/>
      <c r="M14" s="6"/>
      <c r="P14" s="44">
        <v>12269123.495999999</v>
      </c>
      <c r="Q14" s="44">
        <f>3393875.01+73860</f>
        <v>3467735.01</v>
      </c>
      <c r="R14" s="45">
        <f>314000+273518.07+636730+196900</f>
        <v>1421148.07</v>
      </c>
      <c r="S14" s="45">
        <v>40000</v>
      </c>
      <c r="T14" s="44">
        <f>P14+Q14+R14+S14</f>
        <v>17198006.575999998</v>
      </c>
    </row>
    <row r="15" spans="1:1022" ht="15.75" x14ac:dyDescent="0.25">
      <c r="L15" s="6"/>
      <c r="M15" s="6"/>
      <c r="N15" s="5"/>
      <c r="Q15" s="44"/>
      <c r="R15" s="5"/>
      <c r="S15" s="5"/>
      <c r="T15" s="5"/>
    </row>
    <row r="16" spans="1:1022" x14ac:dyDescent="0.2">
      <c r="L16" s="6"/>
      <c r="M16" s="6"/>
      <c r="N16" s="5"/>
      <c r="Q16" s="5"/>
      <c r="R16" s="5"/>
      <c r="S16" s="5"/>
      <c r="T16" s="5"/>
    </row>
    <row r="17" spans="12:20" x14ac:dyDescent="0.2">
      <c r="L17" s="6"/>
      <c r="M17" s="6"/>
      <c r="N17" s="5"/>
      <c r="Q17" s="5"/>
      <c r="R17" s="5"/>
      <c r="S17" s="5"/>
      <c r="T17" s="5"/>
    </row>
    <row r="18" spans="12:20" x14ac:dyDescent="0.2">
      <c r="L18" s="6"/>
      <c r="M18" s="6"/>
      <c r="N18" s="5"/>
      <c r="Q18" s="46"/>
      <c r="R18" s="5"/>
      <c r="S18" s="5"/>
      <c r="T18" s="5"/>
    </row>
    <row r="19" spans="12:20" x14ac:dyDescent="0.2">
      <c r="L19" s="6"/>
      <c r="M19" s="6"/>
      <c r="N19" s="5"/>
      <c r="P19" s="7"/>
      <c r="Q19" s="5"/>
      <c r="R19" s="5"/>
      <c r="S19" s="5"/>
      <c r="T19" s="5"/>
    </row>
    <row r="20" spans="12:20" x14ac:dyDescent="0.2">
      <c r="N20" s="5"/>
      <c r="Q20" s="5"/>
      <c r="R20" s="5"/>
      <c r="S20" s="5"/>
      <c r="T20" s="5"/>
    </row>
    <row r="21" spans="12:20" x14ac:dyDescent="0.2">
      <c r="N21" s="5"/>
      <c r="P21" s="67">
        <f>Q14/P14</f>
        <v>0.28263918047043513</v>
      </c>
      <c r="Q21" s="5"/>
      <c r="R21" s="5"/>
      <c r="S21" s="5"/>
      <c r="T21" s="5"/>
    </row>
    <row r="22" spans="12:20" x14ac:dyDescent="0.2">
      <c r="N22" s="5"/>
      <c r="Q22" s="5"/>
      <c r="R22" s="5"/>
      <c r="S22" s="5"/>
      <c r="T22" s="5"/>
    </row>
    <row r="23" spans="12:20" x14ac:dyDescent="0.2">
      <c r="N23" s="5"/>
      <c r="Q23" s="5"/>
      <c r="R23" s="5"/>
      <c r="S23" s="5"/>
      <c r="T23" s="5"/>
    </row>
    <row r="24" spans="12:20" x14ac:dyDescent="0.2">
      <c r="N24" s="5"/>
      <c r="Q24" s="5"/>
      <c r="R24" s="5"/>
      <c r="S24" s="5"/>
      <c r="T24" s="5"/>
    </row>
    <row r="25" spans="12:20" x14ac:dyDescent="0.2">
      <c r="N25" s="5"/>
      <c r="Q25" s="5"/>
      <c r="R25" s="5"/>
      <c r="S25" s="5"/>
      <c r="T25" s="5"/>
    </row>
    <row r="26" spans="12:20" x14ac:dyDescent="0.2">
      <c r="N26" s="5"/>
      <c r="Q26" s="5"/>
      <c r="R26" s="5"/>
      <c r="S26" s="5"/>
      <c r="T26" s="5"/>
    </row>
    <row r="27" spans="12:20" x14ac:dyDescent="0.2">
      <c r="N27" s="5"/>
      <c r="Q27" s="5"/>
      <c r="R27" s="5"/>
      <c r="S27" s="5"/>
      <c r="T27" s="5"/>
    </row>
    <row r="28" spans="12:20" x14ac:dyDescent="0.2">
      <c r="N28" s="5"/>
      <c r="Q28" s="5"/>
      <c r="R28" s="5"/>
      <c r="S28" s="5"/>
      <c r="T28" s="5"/>
    </row>
    <row r="29" spans="12:20" x14ac:dyDescent="0.2">
      <c r="N29" s="5"/>
      <c r="Q29" s="5"/>
      <c r="R29" s="5"/>
      <c r="S29" s="5"/>
      <c r="T29" s="5"/>
    </row>
    <row r="30" spans="12:20" x14ac:dyDescent="0.2">
      <c r="N30" s="5"/>
      <c r="Q30" s="5"/>
      <c r="R30" s="5"/>
      <c r="S30" s="5"/>
      <c r="T30" s="5"/>
    </row>
    <row r="31" spans="12:20" x14ac:dyDescent="0.2">
      <c r="N31" s="5"/>
      <c r="Q31" s="5"/>
      <c r="R31" s="5"/>
      <c r="S31" s="5"/>
      <c r="T31" s="5"/>
    </row>
    <row r="32" spans="12:20" x14ac:dyDescent="0.2">
      <c r="N32" s="5"/>
      <c r="Q32" s="5"/>
      <c r="R32" s="5"/>
      <c r="S32" s="5"/>
      <c r="T32" s="5"/>
    </row>
    <row r="33" spans="14:20" x14ac:dyDescent="0.2">
      <c r="N33" s="5"/>
      <c r="Q33" s="5"/>
      <c r="R33" s="5"/>
      <c r="S33" s="5"/>
      <c r="T33" s="5"/>
    </row>
    <row r="34" spans="14:20" x14ac:dyDescent="0.2">
      <c r="N34" s="5"/>
      <c r="Q34" s="5"/>
      <c r="R34" s="5"/>
      <c r="S34" s="5"/>
      <c r="T34" s="5"/>
    </row>
  </sheetData>
  <conditionalFormatting sqref="W14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0B85-42F1-4F65-AA11-EA0B12C9E718}">
  <dimension ref="A1:J8"/>
  <sheetViews>
    <sheetView workbookViewId="0">
      <selection activeCell="J24" sqref="J24"/>
    </sheetView>
  </sheetViews>
  <sheetFormatPr defaultColWidth="29.7109375" defaultRowHeight="12.75" x14ac:dyDescent="0.2"/>
  <cols>
    <col min="3" max="3" width="67" bestFit="1" customWidth="1"/>
    <col min="4" max="4" width="18.28515625" customWidth="1"/>
  </cols>
  <sheetData>
    <row r="1" spans="1:10" ht="31.5" x14ac:dyDescent="0.2">
      <c r="A1" s="9" t="s">
        <v>0</v>
      </c>
      <c r="B1" s="10" t="s">
        <v>1</v>
      </c>
      <c r="C1" s="10" t="s">
        <v>2</v>
      </c>
      <c r="D1" s="10" t="s">
        <v>47</v>
      </c>
      <c r="E1" s="11" t="s">
        <v>3</v>
      </c>
      <c r="F1" s="12" t="s">
        <v>4</v>
      </c>
      <c r="G1" s="10" t="s">
        <v>5</v>
      </c>
      <c r="H1" s="10" t="s">
        <v>6</v>
      </c>
      <c r="I1" s="10" t="s">
        <v>7</v>
      </c>
      <c r="J1" s="13" t="s">
        <v>8</v>
      </c>
    </row>
    <row r="2" spans="1:10" ht="18" customHeight="1" x14ac:dyDescent="0.2">
      <c r="A2" s="23" t="s">
        <v>22</v>
      </c>
      <c r="B2" s="24" t="s">
        <v>23</v>
      </c>
      <c r="C2" s="25" t="s">
        <v>24</v>
      </c>
      <c r="D2" s="25" t="s">
        <v>48</v>
      </c>
      <c r="E2" s="26">
        <v>1</v>
      </c>
      <c r="F2" s="26">
        <f>1008*11</f>
        <v>11088</v>
      </c>
      <c r="G2" s="26">
        <v>24</v>
      </c>
      <c r="H2" s="26">
        <f t="shared" ref="H2:H8" si="0">F2/G2</f>
        <v>462</v>
      </c>
      <c r="I2" s="27">
        <v>5.2</v>
      </c>
      <c r="J2" s="27">
        <f t="shared" ref="J2:J8" si="1">I2*F2</f>
        <v>57657.599999999999</v>
      </c>
    </row>
    <row r="3" spans="1:10" ht="18" customHeight="1" x14ac:dyDescent="0.2">
      <c r="A3" s="23" t="s">
        <v>32</v>
      </c>
      <c r="B3" s="24" t="s">
        <v>33</v>
      </c>
      <c r="C3" s="25" t="s">
        <v>31</v>
      </c>
      <c r="D3" s="25" t="s">
        <v>49</v>
      </c>
      <c r="E3" s="26">
        <v>1</v>
      </c>
      <c r="F3" s="26">
        <v>1440</v>
      </c>
      <c r="G3" s="26">
        <v>12</v>
      </c>
      <c r="H3" s="26">
        <f t="shared" si="0"/>
        <v>120</v>
      </c>
      <c r="I3" s="27">
        <v>7.66</v>
      </c>
      <c r="J3" s="27">
        <f t="shared" si="1"/>
        <v>11030.4</v>
      </c>
    </row>
    <row r="4" spans="1:10" ht="18" customHeight="1" x14ac:dyDescent="0.2">
      <c r="A4" s="23" t="s">
        <v>26</v>
      </c>
      <c r="B4" s="24" t="s">
        <v>25</v>
      </c>
      <c r="C4" s="25" t="s">
        <v>27</v>
      </c>
      <c r="D4" s="25" t="s">
        <v>49</v>
      </c>
      <c r="E4" s="26">
        <v>1</v>
      </c>
      <c r="F4" s="26">
        <f>576*9</f>
        <v>5184</v>
      </c>
      <c r="G4" s="26">
        <v>12</v>
      </c>
      <c r="H4" s="26">
        <f t="shared" si="0"/>
        <v>432</v>
      </c>
      <c r="I4" s="27">
        <v>6.83</v>
      </c>
      <c r="J4" s="27">
        <f t="shared" si="1"/>
        <v>35406.720000000001</v>
      </c>
    </row>
    <row r="5" spans="1:10" ht="18" customHeight="1" x14ac:dyDescent="0.2">
      <c r="A5" s="63" t="s">
        <v>38</v>
      </c>
      <c r="B5" s="59" t="s">
        <v>34</v>
      </c>
      <c r="C5" s="25" t="s">
        <v>35</v>
      </c>
      <c r="D5" s="25" t="s">
        <v>49</v>
      </c>
      <c r="E5" s="26">
        <v>4</v>
      </c>
      <c r="F5" s="26">
        <f>288+144+144</f>
        <v>576</v>
      </c>
      <c r="G5" s="26">
        <v>6</v>
      </c>
      <c r="H5" s="26">
        <f t="shared" si="0"/>
        <v>96</v>
      </c>
      <c r="I5" s="27">
        <v>14.71</v>
      </c>
      <c r="J5" s="27">
        <f t="shared" si="1"/>
        <v>8472.9600000000009</v>
      </c>
    </row>
    <row r="6" spans="1:10" ht="18" customHeight="1" x14ac:dyDescent="0.2">
      <c r="A6" s="63" t="s">
        <v>37</v>
      </c>
      <c r="B6" s="59" t="s">
        <v>34</v>
      </c>
      <c r="C6" s="60" t="s">
        <v>36</v>
      </c>
      <c r="D6" s="25" t="s">
        <v>49</v>
      </c>
      <c r="E6" s="26">
        <v>1</v>
      </c>
      <c r="F6" s="26">
        <v>1440</v>
      </c>
      <c r="G6" s="26">
        <v>24</v>
      </c>
      <c r="H6" s="26">
        <f t="shared" si="0"/>
        <v>60</v>
      </c>
      <c r="I6" s="27">
        <v>4.21</v>
      </c>
      <c r="J6" s="27">
        <f t="shared" si="1"/>
        <v>6062.4</v>
      </c>
    </row>
    <row r="7" spans="1:10" ht="18" customHeight="1" x14ac:dyDescent="0.2">
      <c r="A7" s="63" t="s">
        <v>39</v>
      </c>
      <c r="B7" s="59" t="s">
        <v>34</v>
      </c>
      <c r="C7" s="25" t="s">
        <v>40</v>
      </c>
      <c r="D7" s="25" t="s">
        <v>48</v>
      </c>
      <c r="E7" s="26">
        <v>4</v>
      </c>
      <c r="F7" s="26">
        <v>720</v>
      </c>
      <c r="G7" s="26">
        <v>6</v>
      </c>
      <c r="H7" s="26">
        <f t="shared" si="0"/>
        <v>120</v>
      </c>
      <c r="I7" s="27">
        <v>22.5</v>
      </c>
      <c r="J7" s="27">
        <f t="shared" si="1"/>
        <v>16200</v>
      </c>
    </row>
    <row r="8" spans="1:10" ht="18" customHeight="1" x14ac:dyDescent="0.2">
      <c r="A8" s="63" t="s">
        <v>41</v>
      </c>
      <c r="B8" s="59" t="s">
        <v>42</v>
      </c>
      <c r="C8" s="25" t="s">
        <v>46</v>
      </c>
      <c r="D8" s="25" t="s">
        <v>50</v>
      </c>
      <c r="E8" s="26">
        <v>1</v>
      </c>
      <c r="F8" s="26">
        <v>600</v>
      </c>
      <c r="G8" s="26">
        <v>12</v>
      </c>
      <c r="H8" s="26">
        <f t="shared" si="0"/>
        <v>50</v>
      </c>
      <c r="I8" s="27">
        <v>10</v>
      </c>
      <c r="J8" s="27">
        <f t="shared" si="1"/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ФПЗ_Э4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2026-03-30T10:10:35Z</dcterms:modified>
  <dc:language>ru-RU</dc:language>
</cp:coreProperties>
</file>