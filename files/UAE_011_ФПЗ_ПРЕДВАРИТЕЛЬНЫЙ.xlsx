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ov\OneDrive\Desktop\РАБОЧАЯ\001 ИМПОРТ\001 containers\2026\001 UAE\UAE#11\"/>
    </mc:Choice>
  </mc:AlternateContent>
  <xr:revisionPtr revIDLastSave="0" documentId="13_ncr:1_{C6529464-AE13-4EA8-B60E-6FC21A3AD5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ПЗ_Э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8" i="1" l="1"/>
  <c r="U23" i="1"/>
  <c r="P31" i="1" l="1"/>
  <c r="E3" i="1" l="1"/>
  <c r="E4" i="1"/>
  <c r="E5" i="1"/>
  <c r="E6" i="1"/>
  <c r="E7" i="1"/>
  <c r="E8" i="1"/>
  <c r="E2" i="1"/>
  <c r="S7" i="1"/>
  <c r="S2" i="1"/>
  <c r="S3" i="1"/>
  <c r="I2" i="1" l="1"/>
  <c r="AD2" i="1"/>
  <c r="P2" i="1"/>
  <c r="E12" i="1"/>
  <c r="U19" i="1" s="1"/>
  <c r="U25" i="1" s="1"/>
  <c r="P3" i="1"/>
  <c r="AD8" i="1"/>
  <c r="S8" i="1"/>
  <c r="P8" i="1"/>
  <c r="O8" i="1"/>
  <c r="M8" i="1"/>
  <c r="I8" i="1"/>
  <c r="S4" i="1"/>
  <c r="S5" i="1"/>
  <c r="S6" i="1"/>
  <c r="I7" i="1"/>
  <c r="I3" i="1"/>
  <c r="I4" i="1"/>
  <c r="I5" i="1"/>
  <c r="P4" i="1"/>
  <c r="P5" i="1"/>
  <c r="M5" i="1"/>
  <c r="Q5" i="1"/>
  <c r="Q4" i="1"/>
  <c r="Q2" i="1"/>
  <c r="P6" i="1"/>
  <c r="AD9" i="1" l="1"/>
  <c r="I6" i="1"/>
  <c r="Q3" i="1"/>
  <c r="P7" i="1"/>
  <c r="P12" i="1" s="1"/>
  <c r="T14" i="1" s="1"/>
  <c r="U14" i="1" s="1"/>
  <c r="AD6" i="1"/>
  <c r="AD3" i="1"/>
  <c r="AD4" i="1"/>
  <c r="AD5" i="1"/>
  <c r="AD7" i="1"/>
  <c r="U8" i="1" l="1"/>
  <c r="O5" i="1"/>
  <c r="O3" i="1"/>
  <c r="M3" i="1"/>
  <c r="O4" i="1"/>
  <c r="O6" i="1"/>
  <c r="O7" i="1"/>
  <c r="O2" i="1"/>
  <c r="M4" i="1"/>
  <c r="X14" i="1" l="1"/>
  <c r="T8" i="1"/>
  <c r="M6" i="1"/>
  <c r="Q6" i="1"/>
  <c r="Q12" i="1" s="1"/>
  <c r="Q7" i="1"/>
  <c r="M7" i="1"/>
  <c r="M2" i="1"/>
  <c r="M12" i="1" l="1"/>
  <c r="Q13" i="1" l="1"/>
  <c r="W8" i="1"/>
  <c r="V8" i="1"/>
  <c r="T3" i="1"/>
  <c r="T5" i="1"/>
  <c r="W5" i="1"/>
  <c r="V5" i="1"/>
  <c r="V4" i="1"/>
  <c r="W3" i="1"/>
  <c r="V3" i="1"/>
  <c r="T2" i="1"/>
  <c r="V2" i="1"/>
  <c r="W7" i="1"/>
  <c r="T7" i="1"/>
  <c r="V6" i="1"/>
  <c r="W4" i="1"/>
  <c r="W6" i="1"/>
  <c r="V7" i="1"/>
  <c r="W2" i="1"/>
  <c r="T4" i="1"/>
  <c r="T6" i="1"/>
  <c r="V12" i="1" l="1"/>
  <c r="X8" i="1"/>
  <c r="Y8" i="1" s="1"/>
  <c r="AE8" i="1" s="1"/>
  <c r="T12" i="1"/>
  <c r="W12" i="1"/>
  <c r="U5" i="1"/>
  <c r="X5" i="1" s="1"/>
  <c r="Y5" i="1" s="1"/>
  <c r="U3" i="1"/>
  <c r="X3" i="1" s="1"/>
  <c r="Y3" i="1" s="1"/>
  <c r="U6" i="1"/>
  <c r="X6" i="1" s="1"/>
  <c r="Y6" i="1" s="1"/>
  <c r="AE6" i="1" s="1"/>
  <c r="U4" i="1"/>
  <c r="X4" i="1" s="1"/>
  <c r="Y4" i="1" s="1"/>
  <c r="U7" i="1"/>
  <c r="X7" i="1" s="1"/>
  <c r="Y7" i="1" s="1"/>
  <c r="U2" i="1"/>
  <c r="AB8" i="1" l="1"/>
  <c r="X2" i="1"/>
  <c r="U12" i="1"/>
  <c r="Z8" i="1"/>
  <c r="AF8" i="1" s="1"/>
  <c r="Z2" i="1"/>
  <c r="Z4" i="1"/>
  <c r="Z7" i="1"/>
  <c r="Z6" i="1"/>
  <c r="Z5" i="1"/>
  <c r="Z3" i="1"/>
  <c r="AB5" i="1"/>
  <c r="AE5" i="1"/>
  <c r="AB7" i="1"/>
  <c r="AE7" i="1"/>
  <c r="AB4" i="1"/>
  <c r="AE4" i="1"/>
  <c r="AB3" i="1"/>
  <c r="AE3" i="1"/>
  <c r="AB6" i="1"/>
  <c r="AC8" i="1" l="1"/>
  <c r="Y2" i="1"/>
  <c r="AE2" i="1" s="1"/>
  <c r="X12" i="1"/>
  <c r="AF5" i="1"/>
  <c r="AC5" i="1"/>
  <c r="AF3" i="1"/>
  <c r="AC3" i="1"/>
  <c r="AF6" i="1"/>
  <c r="AC6" i="1"/>
  <c r="AF7" i="1"/>
  <c r="AC7" i="1"/>
  <c r="AF4" i="1"/>
  <c r="AC4" i="1"/>
  <c r="AF2" i="1"/>
  <c r="AC2" i="1"/>
  <c r="AF9" i="1" l="1"/>
  <c r="AB2" i="1"/>
  <c r="AE9" i="1"/>
  <c r="AE13" i="1" l="1"/>
  <c r="AE21" i="1"/>
</calcChain>
</file>

<file path=xl/sharedStrings.xml><?xml version="1.0" encoding="utf-8"?>
<sst xmlns="http://schemas.openxmlformats.org/spreadsheetml/2006/main" count="58" uniqueCount="49">
  <si>
    <t xml:space="preserve">
Артикул</t>
  </si>
  <si>
    <t>Производитель</t>
  </si>
  <si>
    <t>Наименование</t>
  </si>
  <si>
    <t>Литраж</t>
  </si>
  <si>
    <t>Заказ</t>
  </si>
  <si>
    <t>Кол-во в кор</t>
  </si>
  <si>
    <t>Итого кор</t>
  </si>
  <si>
    <t>Цена за ШТ (Закупка в валюте поставщика)</t>
  </si>
  <si>
    <t>Итого за позицию</t>
  </si>
  <si>
    <t>Вес брутто ИТОГО</t>
  </si>
  <si>
    <t>Курс валюты</t>
  </si>
  <si>
    <t>Цена в рублях по Инвойсу Поставщика</t>
  </si>
  <si>
    <t xml:space="preserve">Сумма  за товар в руюлях </t>
  </si>
  <si>
    <t xml:space="preserve">Таможня </t>
  </si>
  <si>
    <t>Доставка</t>
  </si>
  <si>
    <t>Услуги брокеров</t>
  </si>
  <si>
    <t>Общая сумма закупа + ТО и доставка</t>
  </si>
  <si>
    <t>себестоимость за шт</t>
  </si>
  <si>
    <t>Дистриб</t>
  </si>
  <si>
    <t>рентабельность</t>
  </si>
  <si>
    <t>Сумма реализации</t>
  </si>
  <si>
    <t>Стоимость ящика закуп</t>
  </si>
  <si>
    <t>Общий вес с паллетами</t>
  </si>
  <si>
    <t>введите</t>
  </si>
  <si>
    <t xml:space="preserve">Ожидаемый % рент. </t>
  </si>
  <si>
    <t>Цена за ШТ (Закупка в валюте поставщика) + КМ</t>
  </si>
  <si>
    <t>До корректировки</t>
  </si>
  <si>
    <t>Разница</t>
  </si>
  <si>
    <t>Новый себес</t>
  </si>
  <si>
    <t>Обзий объем</t>
  </si>
  <si>
    <t>Новая рентабельность</t>
  </si>
  <si>
    <t>GS60577M4</t>
  </si>
  <si>
    <t>GS55502M2</t>
  </si>
  <si>
    <t>GS55502M4</t>
  </si>
  <si>
    <t>GS60577M2</t>
  </si>
  <si>
    <t>GS55545M2</t>
  </si>
  <si>
    <t>GS55545M4</t>
  </si>
  <si>
    <t>GS55502M9</t>
  </si>
  <si>
    <t>VAG</t>
  </si>
  <si>
    <t>MOTOR OIL 508.00/509.00 0W-20 5 Lt</t>
  </si>
  <si>
    <t>MOTOR OIL 502.00/505.00 5W-40 1 Lt</t>
  </si>
  <si>
    <t>MOTOR OIL 502.00/505.00 5W-40 5 Lt</t>
  </si>
  <si>
    <t>MOTOR OIL 508.00/509.00 0W-20 1 Lt</t>
  </si>
  <si>
    <t>MOTOR OIL 504.00/507.00 0W-30 1 Lt</t>
  </si>
  <si>
    <t>MOTOR OIL 504.00/507.00 0W-30 5 Lt</t>
  </si>
  <si>
    <t>MOTOR OIL 502.00/505.00 5W-40 209 Lt</t>
  </si>
  <si>
    <t>ПА</t>
  </si>
  <si>
    <t>СТ-ПАРТС</t>
  </si>
  <si>
    <t>АМТЕЛ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</si>
</sst>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#,##0.00&quot; ₽&quot;"/>
    <numFmt numFmtId="166" formatCode="0.0000"/>
    <numFmt numFmtId="167" formatCode="_-[$$-1009]* #,##0.00_-;\-[$$-1009]* #,##0.00_-;_-[$$-1009]* \-??_-;_-@_-"/>
    <numFmt numFmtId="168" formatCode="#,##0.00\ [$₽-419]"/>
    <numFmt numFmtId="169" formatCode="0.0%"/>
    <numFmt numFmtId="170" formatCode="#,##0.00\ [$₽-419];[Red]\-#,##0.00\ [$₽-419]"/>
    <numFmt numFmtId="171" formatCode="0&quot; кг.&quot;"/>
    <numFmt numFmtId="172" formatCode="#,##0.0"/>
    <numFmt numFmtId="173" formatCode="#,##0.00\ &quot;₽&quot;"/>
    <numFmt numFmtId="174" formatCode="_-[$€-2]\ * #,##0.00_-;\-[$€-2]\ * #,##0.00_-;_-[$€-2]\ * &quot;-&quot;??_-;_-@_-"/>
  </numFmts>
  <fonts count="15" x14ac:knownFonts="1">
    <font>
      <sz val="10"/>
      <color theme="1"/>
      <name val="Arial"/>
    </font>
    <font>
      <sz val="10"/>
      <name val="Arial"/>
      <family val="2"/>
      <charset val="204"/>
    </font>
    <font>
      <sz val="10"/>
      <name val="Calibri Light"/>
      <family val="2"/>
      <charset val="204"/>
    </font>
    <font>
      <b/>
      <sz val="10"/>
      <color indexed="2"/>
      <name val="Calibri Light"/>
      <family val="2"/>
      <charset val="204"/>
    </font>
    <font>
      <b/>
      <sz val="10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color indexed="2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color rgb="FFC00000"/>
      <name val="Calibri Light"/>
      <family val="2"/>
      <charset val="204"/>
    </font>
    <font>
      <b/>
      <sz val="11"/>
      <name val="Calibri Light"/>
      <family val="2"/>
      <charset val="204"/>
    </font>
    <font>
      <sz val="11"/>
      <color rgb="FFC9211E"/>
      <name val="Calibri Light"/>
      <family val="2"/>
      <charset val="204"/>
    </font>
    <font>
      <b/>
      <sz val="12"/>
      <color rgb="FF00A933"/>
      <name val="Calibri Light"/>
      <family val="2"/>
      <charset val="204"/>
    </font>
    <font>
      <sz val="12"/>
      <name val="Calibri Light"/>
      <family val="2"/>
      <charset val="204"/>
    </font>
    <font>
      <b/>
      <sz val="12"/>
      <name val="Calibri Light"/>
      <family val="2"/>
      <charset val="204"/>
    </font>
    <font>
      <b/>
      <sz val="12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D7D7"/>
        <bgColor rgb="FFDDDDDD"/>
      </patternFill>
    </fill>
    <fill>
      <patternFill patternType="solid">
        <fgColor indexed="65"/>
        <bgColor indexed="26"/>
      </patternFill>
    </fill>
    <fill>
      <patternFill patternType="solid">
        <fgColor rgb="FFED7D31"/>
        <bgColor indexed="29"/>
      </patternFill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DDDDDD"/>
        <bgColor rgb="FFFFD7D7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Border="0" applyProtection="0"/>
  </cellStyleXfs>
  <cellXfs count="73">
    <xf numFmtId="0" fontId="0" fillId="0" borderId="0" xfId="0"/>
    <xf numFmtId="49" fontId="2" fillId="0" borderId="0" xfId="0" applyNumberFormat="1" applyFont="1" applyAlignment="1" applyProtection="1">
      <alignment vertical="center" wrapText="1"/>
    </xf>
    <xf numFmtId="1" fontId="2" fillId="0" borderId="0" xfId="0" applyNumberFormat="1" applyFont="1" applyAlignment="1" applyProtection="1">
      <alignment horizontal="left" vertical="center" wrapText="1"/>
    </xf>
    <xf numFmtId="2" fontId="2" fillId="0" borderId="0" xfId="0" applyNumberFormat="1" applyFont="1" applyAlignment="1" applyProtection="1">
      <alignment horizontal="left" vertical="center" wrapText="1"/>
    </xf>
    <xf numFmtId="1" fontId="3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wrapText="1"/>
    </xf>
    <xf numFmtId="1" fontId="4" fillId="0" borderId="0" xfId="0" applyNumberFormat="1" applyFont="1" applyAlignment="1" applyProtection="1">
      <alignment horizontal="center" wrapText="1"/>
    </xf>
    <xf numFmtId="2" fontId="2" fillId="0" borderId="0" xfId="0" applyNumberFormat="1" applyFont="1" applyAlignment="1" applyProtection="1">
      <alignment horizontal="center" wrapText="1"/>
    </xf>
    <xf numFmtId="0" fontId="2" fillId="0" borderId="0" xfId="0" applyFont="1" applyProtection="1"/>
    <xf numFmtId="49" fontId="5" fillId="2" borderId="1" xfId="0" applyNumberFormat="1" applyFont="1" applyFill="1" applyBorder="1" applyAlignment="1" applyProtection="1">
      <alignment horizontal="center" vertical="center" wrapText="1"/>
    </xf>
    <xf numFmtId="1" fontId="5" fillId="2" borderId="1" xfId="0" applyNumberFormat="1" applyFont="1" applyFill="1" applyBorder="1" applyAlignment="1" applyProtection="1">
      <alignment horizontal="center" vertical="center" wrapText="1"/>
    </xf>
    <xf numFmtId="2" fontId="5" fillId="2" borderId="1" xfId="0" applyNumberFormat="1" applyFont="1" applyFill="1" applyBorder="1" applyAlignment="1" applyProtection="1">
      <alignment horizontal="center" vertical="center" wrapText="1"/>
    </xf>
    <xf numFmtId="1" fontId="6" fillId="2" borderId="1" xfId="0" applyNumberFormat="1" applyFont="1" applyFill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165" fontId="5" fillId="3" borderId="1" xfId="0" applyNumberFormat="1" applyFont="1" applyFill="1" applyBorder="1" applyAlignment="1" applyProtection="1">
      <alignment horizontal="center" vertical="center" wrapText="1"/>
    </xf>
    <xf numFmtId="165" fontId="5" fillId="0" borderId="3" xfId="0" applyNumberFormat="1" applyFont="1" applyBorder="1" applyAlignment="1" applyProtection="1">
      <alignment horizontal="center" vertical="center" wrapText="1"/>
    </xf>
    <xf numFmtId="2" fontId="5" fillId="3" borderId="1" xfId="0" applyNumberFormat="1" applyFont="1" applyFill="1" applyBorder="1" applyAlignment="1" applyProtection="1">
      <alignment horizontal="center" vertical="center" wrapText="1"/>
    </xf>
    <xf numFmtId="1" fontId="6" fillId="0" borderId="1" xfId="0" applyNumberFormat="1" applyFont="1" applyBorder="1" applyAlignment="1" applyProtection="1">
      <alignment horizontal="center" vertical="center" wrapText="1"/>
    </xf>
    <xf numFmtId="1" fontId="5" fillId="4" borderId="1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vertical="center" wrapText="1"/>
    </xf>
    <xf numFmtId="1" fontId="7" fillId="0" borderId="0" xfId="0" applyNumberFormat="1" applyFont="1" applyAlignment="1" applyProtection="1">
      <alignment horizontal="center" wrapText="1"/>
    </xf>
    <xf numFmtId="1" fontId="2" fillId="0" borderId="0" xfId="0" applyNumberFormat="1" applyFont="1" applyAlignment="1" applyProtection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center" vertical="center" wrapText="1"/>
    </xf>
    <xf numFmtId="166" fontId="7" fillId="0" borderId="4" xfId="0" applyNumberFormat="1" applyFont="1" applyBorder="1" applyAlignment="1" applyProtection="1">
      <alignment horizontal="left" vertical="center" wrapText="1"/>
    </xf>
    <xf numFmtId="4" fontId="7" fillId="0" borderId="4" xfId="0" applyNumberFormat="1" applyFont="1" applyBorder="1" applyAlignment="1" applyProtection="1">
      <alignment horizontal="center" vertical="center" wrapText="1"/>
    </xf>
    <xf numFmtId="167" fontId="7" fillId="0" borderId="2" xfId="2" applyNumberFormat="1" applyFont="1" applyBorder="1" applyAlignment="1" applyProtection="1">
      <alignment horizontal="right" vertical="center"/>
    </xf>
    <xf numFmtId="1" fontId="7" fillId="5" borderId="4" xfId="0" applyNumberFormat="1" applyFont="1" applyFill="1" applyBorder="1" applyAlignment="1" applyProtection="1">
      <alignment horizontal="center" vertical="center" wrapText="1"/>
    </xf>
    <xf numFmtId="168" fontId="7" fillId="0" borderId="4" xfId="0" applyNumberFormat="1" applyFont="1" applyBorder="1" applyAlignment="1" applyProtection="1">
      <alignment horizontal="right" vertical="center" wrapText="1"/>
    </xf>
    <xf numFmtId="168" fontId="6" fillId="0" borderId="4" xfId="0" applyNumberFormat="1" applyFont="1" applyBorder="1" applyAlignment="1" applyProtection="1">
      <alignment horizontal="right" vertical="center" wrapText="1"/>
    </xf>
    <xf numFmtId="1" fontId="7" fillId="4" borderId="4" xfId="0" applyNumberFormat="1" applyFont="1" applyFill="1" applyBorder="1" applyAlignment="1" applyProtection="1">
      <alignment horizontal="center" vertical="center" wrapText="1"/>
    </xf>
    <xf numFmtId="169" fontId="1" fillId="0" borderId="4" xfId="3" applyNumberFormat="1" applyFont="1" applyBorder="1" applyProtection="1"/>
    <xf numFmtId="165" fontId="7" fillId="0" borderId="4" xfId="0" applyNumberFormat="1" applyFont="1" applyBorder="1" applyAlignment="1" applyProtection="1">
      <alignment horizontal="right" vertical="center" wrapText="1"/>
    </xf>
    <xf numFmtId="168" fontId="7" fillId="0" borderId="0" xfId="0" applyNumberFormat="1" applyFont="1" applyAlignment="1" applyProtection="1">
      <alignment horizontal="right" vertical="center" wrapText="1"/>
    </xf>
    <xf numFmtId="49" fontId="7" fillId="0" borderId="0" xfId="0" applyNumberFormat="1" applyFont="1" applyAlignment="1" applyProtection="1">
      <alignment vertical="center" wrapText="1"/>
    </xf>
    <xf numFmtId="1" fontId="7" fillId="0" borderId="0" xfId="0" applyNumberFormat="1" applyFont="1" applyAlignment="1" applyProtection="1">
      <alignment horizontal="left" vertical="center" wrapText="1"/>
    </xf>
    <xf numFmtId="2" fontId="7" fillId="0" borderId="0" xfId="0" applyNumberFormat="1" applyFont="1" applyAlignment="1" applyProtection="1">
      <alignment horizontal="left" vertical="center" wrapText="1"/>
    </xf>
    <xf numFmtId="1" fontId="5" fillId="6" borderId="0" xfId="0" applyNumberFormat="1" applyFont="1" applyFill="1" applyAlignment="1" applyProtection="1">
      <alignment horizontal="center" wrapText="1"/>
    </xf>
    <xf numFmtId="1" fontId="8" fillId="0" borderId="0" xfId="0" applyNumberFormat="1" applyFont="1" applyAlignment="1" applyProtection="1">
      <alignment horizontal="center" wrapText="1"/>
    </xf>
    <xf numFmtId="170" fontId="9" fillId="7" borderId="0" xfId="0" applyNumberFormat="1" applyFont="1" applyFill="1" applyProtection="1"/>
    <xf numFmtId="9" fontId="0" fillId="0" borderId="0" xfId="3" applyNumberFormat="1" applyFont="1" applyAlignment="1" applyProtection="1">
      <alignment horizontal="center" wrapText="1"/>
    </xf>
    <xf numFmtId="0" fontId="10" fillId="7" borderId="0" xfId="0" applyFont="1" applyFill="1" applyAlignment="1" applyProtection="1">
      <alignment horizontal="center"/>
    </xf>
    <xf numFmtId="0" fontId="0" fillId="0" borderId="0" xfId="0" applyProtection="1"/>
    <xf numFmtId="165" fontId="11" fillId="0" borderId="0" xfId="0" applyNumberFormat="1" applyFont="1" applyAlignment="1" applyProtection="1">
      <alignment horizontal="right" wrapText="1"/>
    </xf>
    <xf numFmtId="165" fontId="11" fillId="0" borderId="0" xfId="0" applyNumberFormat="1" applyFont="1" applyAlignment="1" applyProtection="1">
      <alignment horizontal="center" wrapText="1"/>
    </xf>
    <xf numFmtId="172" fontId="1" fillId="0" borderId="0" xfId="3" applyNumberFormat="1" applyFont="1" applyProtection="1"/>
    <xf numFmtId="49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center" vertical="center" wrapText="1"/>
    </xf>
    <xf numFmtId="166" fontId="7" fillId="0" borderId="0" xfId="0" applyNumberFormat="1" applyFont="1" applyBorder="1" applyAlignment="1" applyProtection="1">
      <alignment horizontal="left" vertical="center" wrapText="1"/>
    </xf>
    <xf numFmtId="4" fontId="7" fillId="0" borderId="0" xfId="0" applyNumberFormat="1" applyFont="1" applyBorder="1" applyAlignment="1" applyProtection="1">
      <alignment horizontal="center" vertical="center" wrapText="1"/>
    </xf>
    <xf numFmtId="167" fontId="7" fillId="0" borderId="0" xfId="2" applyNumberFormat="1" applyFont="1" applyBorder="1" applyAlignment="1" applyProtection="1">
      <alignment horizontal="right" vertical="center"/>
    </xf>
    <xf numFmtId="168" fontId="7" fillId="0" borderId="0" xfId="0" applyNumberFormat="1" applyFont="1" applyBorder="1" applyAlignment="1" applyProtection="1">
      <alignment horizontal="right" vertical="center" wrapText="1"/>
    </xf>
    <xf numFmtId="168" fontId="6" fillId="0" borderId="0" xfId="0" applyNumberFormat="1" applyFont="1" applyBorder="1" applyAlignment="1" applyProtection="1">
      <alignment horizontal="right" vertical="center" wrapText="1"/>
    </xf>
    <xf numFmtId="169" fontId="1" fillId="0" borderId="0" xfId="3" applyNumberFormat="1" applyFont="1" applyBorder="1" applyProtection="1"/>
    <xf numFmtId="165" fontId="7" fillId="0" borderId="0" xfId="0" applyNumberFormat="1" applyFont="1" applyBorder="1" applyAlignment="1" applyProtection="1">
      <alignment horizontal="right" vertical="center" wrapText="1"/>
    </xf>
    <xf numFmtId="167" fontId="9" fillId="6" borderId="2" xfId="0" applyNumberFormat="1" applyFont="1" applyFill="1" applyBorder="1" applyAlignment="1" applyProtection="1">
      <alignment horizontal="left" vertical="center" wrapText="1"/>
    </xf>
    <xf numFmtId="171" fontId="8" fillId="5" borderId="2" xfId="0" applyNumberFormat="1" applyFont="1" applyFill="1" applyBorder="1" applyAlignment="1" applyProtection="1">
      <alignment horizontal="center" vertical="center" wrapText="1"/>
    </xf>
    <xf numFmtId="1" fontId="7" fillId="0" borderId="0" xfId="0" applyNumberFormat="1" applyFont="1" applyFill="1" applyBorder="1" applyAlignment="1" applyProtection="1">
      <alignment horizontal="center" vertical="center" wrapText="1"/>
    </xf>
    <xf numFmtId="166" fontId="12" fillId="0" borderId="4" xfId="0" applyNumberFormat="1" applyFont="1" applyBorder="1" applyAlignment="1" applyProtection="1">
      <alignment horizontal="center" vertical="center" wrapText="1"/>
    </xf>
    <xf numFmtId="167" fontId="9" fillId="6" borderId="2" xfId="0" applyNumberFormat="1" applyFont="1" applyFill="1" applyBorder="1" applyProtection="1"/>
    <xf numFmtId="1" fontId="8" fillId="5" borderId="2" xfId="0" applyNumberFormat="1" applyFont="1" applyFill="1" applyBorder="1" applyAlignment="1" applyProtection="1">
      <alignment horizontal="center" wrapText="1"/>
    </xf>
    <xf numFmtId="165" fontId="13" fillId="0" borderId="0" xfId="0" applyNumberFormat="1" applyFont="1" applyBorder="1" applyAlignment="1" applyProtection="1">
      <alignment horizontal="right" vertical="center" wrapText="1"/>
    </xf>
    <xf numFmtId="0" fontId="14" fillId="8" borderId="2" xfId="0" applyFont="1" applyFill="1" applyBorder="1" applyAlignment="1">
      <alignment horizontal="center" vertical="center"/>
    </xf>
    <xf numFmtId="10" fontId="14" fillId="8" borderId="2" xfId="3" applyNumberFormat="1" applyFont="1" applyFill="1" applyBorder="1" applyAlignment="1" applyProtection="1">
      <alignment horizontal="center" vertical="center"/>
    </xf>
    <xf numFmtId="173" fontId="7" fillId="0" borderId="0" xfId="0" applyNumberFormat="1" applyFont="1" applyAlignment="1" applyProtection="1">
      <alignment horizontal="center" wrapText="1"/>
    </xf>
    <xf numFmtId="168" fontId="6" fillId="9" borderId="4" xfId="0" applyNumberFormat="1" applyFont="1" applyFill="1" applyBorder="1" applyAlignment="1" applyProtection="1">
      <alignment horizontal="right" vertical="center" wrapText="1"/>
    </xf>
    <xf numFmtId="169" fontId="1" fillId="9" borderId="4" xfId="3" applyNumberFormat="1" applyFont="1" applyFill="1" applyBorder="1" applyProtection="1"/>
    <xf numFmtId="169" fontId="1" fillId="0" borderId="0" xfId="3" applyNumberFormat="1" applyProtection="1"/>
    <xf numFmtId="49" fontId="7" fillId="10" borderId="4" xfId="0" applyNumberFormat="1" applyFont="1" applyFill="1" applyBorder="1" applyAlignment="1" applyProtection="1">
      <alignment horizontal="center" vertical="center" wrapText="1"/>
    </xf>
    <xf numFmtId="166" fontId="7" fillId="10" borderId="4" xfId="0" applyNumberFormat="1" applyFont="1" applyFill="1" applyBorder="1" applyAlignment="1" applyProtection="1">
      <alignment horizontal="center" vertical="center" wrapText="1"/>
    </xf>
    <xf numFmtId="166" fontId="7" fillId="10" borderId="4" xfId="0" applyNumberFormat="1" applyFont="1" applyFill="1" applyBorder="1" applyAlignment="1" applyProtection="1">
      <alignment horizontal="left" vertical="center" wrapText="1"/>
    </xf>
    <xf numFmtId="174" fontId="7" fillId="0" borderId="2" xfId="2" applyNumberFormat="1" applyFont="1" applyBorder="1" applyAlignment="1" applyProtection="1">
      <alignment horizontal="right" vertical="center"/>
    </xf>
  </cellXfs>
  <cellStyles count="4">
    <cellStyle name="Normal" xfId="0" builtinId="0"/>
    <cellStyle name="Normal 2" xfId="1" xr:uid="{00000000-0005-0000-0000-000000000000}"/>
    <cellStyle name="Percent" xfId="3" builtinId="5"/>
    <cellStyle name="Обычный 8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N34"/>
  <sheetViews>
    <sheetView tabSelected="1" zoomScale="85" workbookViewId="0">
      <pane xSplit="5" ySplit="1" topLeftCell="F2" activePane="bottomRight" state="frozen"/>
      <selection sqref="A1:H5"/>
      <selection pane="topRight"/>
      <selection pane="bottomLeft"/>
      <selection pane="bottomRight" activeCell="Q2" sqref="Q2"/>
    </sheetView>
  </sheetViews>
  <sheetFormatPr defaultColWidth="11.5703125" defaultRowHeight="12.75" x14ac:dyDescent="0.2"/>
  <cols>
    <col min="1" max="1" width="25.7109375" style="1" customWidth="1"/>
    <col min="2" max="2" width="24.85546875" style="2" customWidth="1"/>
    <col min="3" max="3" width="80" style="2" customWidth="1"/>
    <col min="4" max="4" width="11.7109375" style="3" customWidth="1"/>
    <col min="5" max="11" width="10.85546875" style="4" customWidth="1"/>
    <col min="12" max="12" width="10.42578125" style="5" customWidth="1"/>
    <col min="13" max="13" width="10.7109375" style="6" customWidth="1"/>
    <col min="14" max="15" width="22.28515625" style="6" bestFit="1" customWidth="1"/>
    <col min="16" max="16" width="16.42578125" style="7" customWidth="1"/>
    <col min="17" max="17" width="11.5703125" style="5"/>
    <col min="18" max="18" width="11.5703125" style="7"/>
    <col min="19" max="19" width="12.5703125" style="5" customWidth="1"/>
    <col min="20" max="20" width="18.5703125" style="5" customWidth="1"/>
    <col min="21" max="22" width="17.5703125" style="7" customWidth="1"/>
    <col min="23" max="23" width="14.140625" style="7" customWidth="1"/>
    <col min="24" max="24" width="21.5703125" style="7" customWidth="1"/>
    <col min="25" max="26" width="16" style="5" customWidth="1"/>
    <col min="27" max="27" width="17.5703125" style="5" customWidth="1"/>
    <col min="28" max="29" width="19.140625" style="5" customWidth="1"/>
    <col min="30" max="30" width="34.42578125" style="5" customWidth="1"/>
    <col min="31" max="31" width="28" style="5" customWidth="1"/>
    <col min="32" max="32" width="15.7109375" style="5" customWidth="1"/>
    <col min="33" max="33" width="11.5703125" style="5"/>
    <col min="34" max="34" width="44.140625" style="5" customWidth="1"/>
    <col min="35" max="1026" width="11.5703125" style="5"/>
    <col min="1027" max="1028" width="11.5703125" style="8"/>
  </cols>
  <sheetData>
    <row r="1" spans="1:1028" ht="60.75" customHeight="1" x14ac:dyDescent="0.25">
      <c r="A1" s="9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2" t="s">
        <v>46</v>
      </c>
      <c r="G1" s="12" t="s">
        <v>47</v>
      </c>
      <c r="H1" s="12" t="s">
        <v>48</v>
      </c>
      <c r="I1" s="12" t="s">
        <v>29</v>
      </c>
      <c r="J1" s="12" t="s">
        <v>26</v>
      </c>
      <c r="K1" s="12" t="s">
        <v>27</v>
      </c>
      <c r="L1" s="10" t="s">
        <v>5</v>
      </c>
      <c r="M1" s="10" t="s">
        <v>6</v>
      </c>
      <c r="N1" s="10" t="s">
        <v>7</v>
      </c>
      <c r="O1" s="10" t="s">
        <v>25</v>
      </c>
      <c r="P1" s="13" t="s">
        <v>8</v>
      </c>
      <c r="Q1" s="14" t="s">
        <v>9</v>
      </c>
      <c r="R1" s="11" t="s">
        <v>10</v>
      </c>
      <c r="S1" s="15" t="s">
        <v>11</v>
      </c>
      <c r="T1" s="16" t="s">
        <v>12</v>
      </c>
      <c r="U1" s="17" t="s">
        <v>13</v>
      </c>
      <c r="V1" s="17" t="s">
        <v>14</v>
      </c>
      <c r="W1" s="17" t="s">
        <v>15</v>
      </c>
      <c r="X1" s="17" t="s">
        <v>16</v>
      </c>
      <c r="Y1" s="18" t="s">
        <v>17</v>
      </c>
      <c r="Z1" s="18" t="s">
        <v>28</v>
      </c>
      <c r="AA1" s="19" t="s">
        <v>18</v>
      </c>
      <c r="AB1" s="20" t="s">
        <v>19</v>
      </c>
      <c r="AC1" s="20" t="s">
        <v>30</v>
      </c>
      <c r="AD1" s="20" t="s">
        <v>20</v>
      </c>
      <c r="AE1" s="20" t="s">
        <v>21</v>
      </c>
      <c r="AF1" s="21"/>
      <c r="AG1" s="21"/>
      <c r="AH1" s="21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  <c r="ALM1" s="22"/>
      <c r="ALN1" s="22"/>
      <c r="ALO1" s="22"/>
      <c r="ALP1" s="22"/>
      <c r="ALQ1" s="22"/>
      <c r="ALR1" s="22"/>
      <c r="ALS1" s="22"/>
      <c r="ALT1" s="22"/>
      <c r="ALU1" s="22"/>
      <c r="ALV1" s="22"/>
      <c r="ALW1" s="22"/>
      <c r="ALX1" s="22"/>
      <c r="ALY1" s="22"/>
      <c r="ALZ1" s="22"/>
      <c r="AMA1" s="22"/>
      <c r="AMB1" s="22"/>
      <c r="AMC1" s="22"/>
      <c r="AMD1" s="22"/>
      <c r="AME1" s="22"/>
      <c r="AMF1" s="22"/>
      <c r="AMG1" s="22"/>
      <c r="AMH1" s="22"/>
      <c r="AMI1" s="22"/>
      <c r="AMJ1" s="22"/>
      <c r="AMK1" s="22"/>
      <c r="AML1" s="22"/>
      <c r="AMM1" s="22"/>
      <c r="AMN1" s="22"/>
    </row>
    <row r="2" spans="1:1028" ht="15.75" x14ac:dyDescent="0.25">
      <c r="A2" s="23" t="s">
        <v>31</v>
      </c>
      <c r="B2" s="24" t="s">
        <v>38</v>
      </c>
      <c r="C2" s="25" t="s">
        <v>39</v>
      </c>
      <c r="D2" s="26">
        <v>5</v>
      </c>
      <c r="E2" s="26">
        <f>SUM(F2:H2)</f>
        <v>468</v>
      </c>
      <c r="F2" s="26"/>
      <c r="G2" s="26">
        <v>312</v>
      </c>
      <c r="H2" s="26">
        <v>156</v>
      </c>
      <c r="I2" s="26">
        <f>E2*D2</f>
        <v>2340</v>
      </c>
      <c r="J2" s="26"/>
      <c r="K2" s="26"/>
      <c r="L2" s="26">
        <v>12</v>
      </c>
      <c r="M2" s="26">
        <f t="shared" ref="M2:M8" si="0">E2/L2</f>
        <v>39</v>
      </c>
      <c r="N2" s="72">
        <v>35.61</v>
      </c>
      <c r="O2" s="72">
        <f>N2+17/R2</f>
        <v>35.805402298850574</v>
      </c>
      <c r="P2" s="27">
        <f>N2*E2</f>
        <v>16665.48</v>
      </c>
      <c r="Q2" s="28">
        <f>D2*E2*0.97</f>
        <v>2269.7999999999997</v>
      </c>
      <c r="R2" s="24">
        <v>87</v>
      </c>
      <c r="S2" s="29">
        <f>N2*R2</f>
        <v>3098.07</v>
      </c>
      <c r="T2" s="29">
        <f t="shared" ref="T2:T7" si="1">$T$14/$P$12*P2</f>
        <v>1449896.76</v>
      </c>
      <c r="U2" s="29">
        <f t="shared" ref="U2:U7" si="2">$U$14/$P$12*P2</f>
        <v>434969.02799999993</v>
      </c>
      <c r="V2" s="29">
        <f t="shared" ref="V2:V7" si="3">$V$14/$Q$12*Q2</f>
        <v>207824.74038987065</v>
      </c>
      <c r="W2" s="29">
        <f t="shared" ref="W2:W7" si="4">$W$14/$Q$12*Q2</f>
        <v>4263.0715977409372</v>
      </c>
      <c r="X2" s="29">
        <f t="shared" ref="X2:X7" si="5">T2+U2+V2+W2</f>
        <v>2096953.5999876116</v>
      </c>
      <c r="Y2" s="30">
        <f>IFERROR(SUM(X2/E2),"")</f>
        <v>4480.6700854436149</v>
      </c>
      <c r="Z2" s="66">
        <f t="shared" ref="Z2:Z7" si="6">S2*($X$14 / $T$12)</f>
        <v>4555.6427881045829</v>
      </c>
      <c r="AA2" s="31">
        <v>4600</v>
      </c>
      <c r="AB2" s="32">
        <f>IFERROR((AA2-Y2)/Y2,"")</f>
        <v>2.6632158199741837E-2</v>
      </c>
      <c r="AC2" s="67">
        <f>(AA2-Z2)/Z2</f>
        <v>9.7367625072009474E-3</v>
      </c>
      <c r="AD2" s="33">
        <f>AA2*E2</f>
        <v>2152800</v>
      </c>
      <c r="AE2" s="33">
        <f>IFERROR(Y2*E2,"")</f>
        <v>2096953.5999876119</v>
      </c>
      <c r="AF2" s="65">
        <f>Z2*E2</f>
        <v>2132040.8248329447</v>
      </c>
      <c r="AG2" s="21"/>
      <c r="AH2" s="21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2"/>
      <c r="LH2" s="22"/>
      <c r="LI2" s="22"/>
      <c r="LJ2" s="22"/>
      <c r="LK2" s="22"/>
      <c r="LL2" s="22"/>
      <c r="LM2" s="22"/>
      <c r="LN2" s="22"/>
      <c r="LO2" s="22"/>
      <c r="LP2" s="22"/>
      <c r="LQ2" s="22"/>
      <c r="LR2" s="22"/>
      <c r="LS2" s="22"/>
      <c r="LT2" s="22"/>
      <c r="LU2" s="22"/>
      <c r="LV2" s="22"/>
      <c r="LW2" s="22"/>
      <c r="LX2" s="22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2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2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  <c r="QT2" s="22"/>
      <c r="QU2" s="22"/>
      <c r="QV2" s="22"/>
      <c r="QW2" s="22"/>
      <c r="QX2" s="22"/>
      <c r="QY2" s="22"/>
      <c r="QZ2" s="22"/>
      <c r="RA2" s="22"/>
      <c r="RB2" s="22"/>
      <c r="RC2" s="22"/>
      <c r="RD2" s="22"/>
      <c r="RE2" s="22"/>
      <c r="RF2" s="22"/>
      <c r="RG2" s="22"/>
      <c r="RH2" s="22"/>
      <c r="RI2" s="22"/>
      <c r="RJ2" s="22"/>
      <c r="RK2" s="22"/>
      <c r="RL2" s="22"/>
      <c r="RM2" s="22"/>
      <c r="RN2" s="22"/>
      <c r="RO2" s="22"/>
      <c r="RP2" s="22"/>
      <c r="RQ2" s="22"/>
      <c r="RR2" s="22"/>
      <c r="RS2" s="22"/>
      <c r="RT2" s="22"/>
      <c r="RU2" s="22"/>
      <c r="RV2" s="22"/>
      <c r="RW2" s="22"/>
      <c r="RX2" s="22"/>
      <c r="RY2" s="22"/>
      <c r="RZ2" s="22"/>
      <c r="SA2" s="22"/>
      <c r="SB2" s="22"/>
      <c r="SC2" s="22"/>
      <c r="SD2" s="22"/>
      <c r="SE2" s="22"/>
      <c r="SF2" s="22"/>
      <c r="SG2" s="22"/>
      <c r="SH2" s="22"/>
      <c r="SI2" s="22"/>
      <c r="SJ2" s="22"/>
      <c r="SK2" s="22"/>
      <c r="SL2" s="22"/>
      <c r="SM2" s="22"/>
      <c r="SN2" s="22"/>
      <c r="SO2" s="22"/>
      <c r="SP2" s="22"/>
      <c r="SQ2" s="22"/>
      <c r="SR2" s="22"/>
      <c r="SS2" s="22"/>
      <c r="ST2" s="22"/>
      <c r="SU2" s="22"/>
      <c r="SV2" s="22"/>
      <c r="SW2" s="22"/>
      <c r="SX2" s="22"/>
      <c r="SY2" s="22"/>
      <c r="SZ2" s="22"/>
      <c r="TA2" s="22"/>
      <c r="TB2" s="22"/>
      <c r="TC2" s="22"/>
      <c r="TD2" s="22"/>
      <c r="TE2" s="22"/>
      <c r="TF2" s="22"/>
      <c r="TG2" s="22"/>
      <c r="TH2" s="22"/>
      <c r="TI2" s="22"/>
      <c r="TJ2" s="22"/>
      <c r="TK2" s="22"/>
      <c r="TL2" s="22"/>
      <c r="TM2" s="22"/>
      <c r="TN2" s="22"/>
      <c r="TO2" s="22"/>
      <c r="TP2" s="22"/>
      <c r="TQ2" s="22"/>
      <c r="TR2" s="22"/>
      <c r="TS2" s="22"/>
      <c r="TT2" s="22"/>
      <c r="TU2" s="22"/>
      <c r="TV2" s="22"/>
      <c r="TW2" s="22"/>
      <c r="TX2" s="22"/>
      <c r="TY2" s="22"/>
      <c r="TZ2" s="22"/>
      <c r="UA2" s="22"/>
      <c r="UB2" s="22"/>
      <c r="UC2" s="22"/>
      <c r="UD2" s="22"/>
      <c r="UE2" s="22"/>
      <c r="UF2" s="22"/>
      <c r="UG2" s="22"/>
      <c r="UH2" s="22"/>
      <c r="UI2" s="22"/>
      <c r="UJ2" s="22"/>
      <c r="UK2" s="22"/>
      <c r="UL2" s="22"/>
      <c r="UM2" s="22"/>
      <c r="UN2" s="22"/>
      <c r="UO2" s="22"/>
      <c r="UP2" s="22"/>
      <c r="UQ2" s="22"/>
      <c r="UR2" s="22"/>
      <c r="US2" s="22"/>
      <c r="UT2" s="22"/>
      <c r="UU2" s="22"/>
      <c r="UV2" s="22"/>
      <c r="UW2" s="22"/>
      <c r="UX2" s="22"/>
      <c r="UY2" s="22"/>
      <c r="UZ2" s="22"/>
      <c r="VA2" s="22"/>
      <c r="VB2" s="22"/>
      <c r="VC2" s="22"/>
      <c r="VD2" s="22"/>
      <c r="VE2" s="22"/>
      <c r="VF2" s="22"/>
      <c r="VG2" s="22"/>
      <c r="VH2" s="22"/>
      <c r="VI2" s="22"/>
      <c r="VJ2" s="22"/>
      <c r="VK2" s="22"/>
      <c r="VL2" s="22"/>
      <c r="VM2" s="22"/>
      <c r="VN2" s="22"/>
      <c r="VO2" s="22"/>
      <c r="VP2" s="22"/>
      <c r="VQ2" s="22"/>
      <c r="VR2" s="22"/>
      <c r="VS2" s="22"/>
      <c r="VT2" s="22"/>
      <c r="VU2" s="22"/>
      <c r="VV2" s="22"/>
      <c r="VW2" s="22"/>
      <c r="VX2" s="22"/>
      <c r="VY2" s="22"/>
      <c r="VZ2" s="22"/>
      <c r="WA2" s="22"/>
      <c r="WB2" s="22"/>
      <c r="WC2" s="22"/>
      <c r="WD2" s="22"/>
      <c r="WE2" s="22"/>
      <c r="WF2" s="22"/>
      <c r="WG2" s="22"/>
      <c r="WH2" s="22"/>
      <c r="WI2" s="22"/>
      <c r="WJ2" s="22"/>
      <c r="WK2" s="22"/>
      <c r="WL2" s="22"/>
      <c r="WM2" s="22"/>
      <c r="WN2" s="22"/>
      <c r="WO2" s="22"/>
      <c r="WP2" s="22"/>
      <c r="WQ2" s="22"/>
      <c r="WR2" s="22"/>
      <c r="WS2" s="22"/>
      <c r="WT2" s="22"/>
      <c r="WU2" s="22"/>
      <c r="WV2" s="22"/>
      <c r="WW2" s="22"/>
      <c r="WX2" s="22"/>
      <c r="WY2" s="22"/>
      <c r="WZ2" s="22"/>
      <c r="XA2" s="22"/>
      <c r="XB2" s="22"/>
      <c r="XC2" s="22"/>
      <c r="XD2" s="22"/>
      <c r="XE2" s="22"/>
      <c r="XF2" s="22"/>
      <c r="XG2" s="22"/>
      <c r="XH2" s="22"/>
      <c r="XI2" s="22"/>
      <c r="XJ2" s="22"/>
      <c r="XK2" s="22"/>
      <c r="XL2" s="22"/>
      <c r="XM2" s="22"/>
      <c r="XN2" s="22"/>
      <c r="XO2" s="22"/>
      <c r="XP2" s="22"/>
      <c r="XQ2" s="22"/>
      <c r="XR2" s="22"/>
      <c r="XS2" s="22"/>
      <c r="XT2" s="22"/>
      <c r="XU2" s="22"/>
      <c r="XV2" s="22"/>
      <c r="XW2" s="22"/>
      <c r="XX2" s="22"/>
      <c r="XY2" s="22"/>
      <c r="XZ2" s="22"/>
      <c r="YA2" s="22"/>
      <c r="YB2" s="22"/>
      <c r="YC2" s="22"/>
      <c r="YD2" s="22"/>
      <c r="YE2" s="22"/>
      <c r="YF2" s="22"/>
      <c r="YG2" s="22"/>
      <c r="YH2" s="22"/>
      <c r="YI2" s="22"/>
      <c r="YJ2" s="22"/>
      <c r="YK2" s="22"/>
      <c r="YL2" s="22"/>
      <c r="YM2" s="22"/>
      <c r="YN2" s="22"/>
      <c r="YO2" s="22"/>
      <c r="YP2" s="22"/>
      <c r="YQ2" s="22"/>
      <c r="YR2" s="22"/>
      <c r="YS2" s="22"/>
      <c r="YT2" s="22"/>
      <c r="YU2" s="22"/>
      <c r="YV2" s="22"/>
      <c r="YW2" s="22"/>
      <c r="YX2" s="22"/>
      <c r="YY2" s="22"/>
      <c r="YZ2" s="22"/>
      <c r="ZA2" s="22"/>
      <c r="ZB2" s="22"/>
      <c r="ZC2" s="22"/>
      <c r="ZD2" s="22"/>
      <c r="ZE2" s="22"/>
      <c r="ZF2" s="22"/>
      <c r="ZG2" s="22"/>
      <c r="ZH2" s="22"/>
      <c r="ZI2" s="22"/>
      <c r="ZJ2" s="22"/>
      <c r="ZK2" s="22"/>
      <c r="ZL2" s="22"/>
      <c r="ZM2" s="22"/>
      <c r="ZN2" s="22"/>
      <c r="ZO2" s="22"/>
      <c r="ZP2" s="22"/>
      <c r="ZQ2" s="22"/>
      <c r="ZR2" s="22"/>
      <c r="ZS2" s="22"/>
      <c r="ZT2" s="22"/>
      <c r="ZU2" s="22"/>
      <c r="ZV2" s="22"/>
      <c r="ZW2" s="22"/>
      <c r="ZX2" s="22"/>
      <c r="ZY2" s="22"/>
      <c r="ZZ2" s="22"/>
      <c r="AAA2" s="22"/>
      <c r="AAB2" s="22"/>
      <c r="AAC2" s="22"/>
      <c r="AAD2" s="22"/>
      <c r="AAE2" s="22"/>
      <c r="AAF2" s="22"/>
      <c r="AAG2" s="22"/>
      <c r="AAH2" s="22"/>
      <c r="AAI2" s="22"/>
      <c r="AAJ2" s="22"/>
      <c r="AAK2" s="22"/>
      <c r="AAL2" s="22"/>
      <c r="AAM2" s="22"/>
      <c r="AAN2" s="22"/>
      <c r="AAO2" s="22"/>
      <c r="AAP2" s="22"/>
      <c r="AAQ2" s="22"/>
      <c r="AAR2" s="22"/>
      <c r="AAS2" s="22"/>
      <c r="AAT2" s="22"/>
      <c r="AAU2" s="22"/>
      <c r="AAV2" s="22"/>
      <c r="AAW2" s="22"/>
      <c r="AAX2" s="22"/>
      <c r="AAY2" s="22"/>
      <c r="AAZ2" s="22"/>
      <c r="ABA2" s="22"/>
      <c r="ABB2" s="22"/>
      <c r="ABC2" s="22"/>
      <c r="ABD2" s="22"/>
      <c r="ABE2" s="22"/>
      <c r="ABF2" s="22"/>
      <c r="ABG2" s="22"/>
      <c r="ABH2" s="22"/>
      <c r="ABI2" s="22"/>
      <c r="ABJ2" s="22"/>
      <c r="ABK2" s="22"/>
      <c r="ABL2" s="22"/>
      <c r="ABM2" s="22"/>
      <c r="ABN2" s="22"/>
      <c r="ABO2" s="22"/>
      <c r="ABP2" s="22"/>
      <c r="ABQ2" s="22"/>
      <c r="ABR2" s="22"/>
      <c r="ABS2" s="22"/>
      <c r="ABT2" s="22"/>
      <c r="ABU2" s="22"/>
      <c r="ABV2" s="22"/>
      <c r="ABW2" s="22"/>
      <c r="ABX2" s="22"/>
      <c r="ABY2" s="22"/>
      <c r="ABZ2" s="22"/>
      <c r="ACA2" s="22"/>
      <c r="ACB2" s="22"/>
      <c r="ACC2" s="22"/>
      <c r="ACD2" s="22"/>
      <c r="ACE2" s="22"/>
      <c r="ACF2" s="22"/>
      <c r="ACG2" s="22"/>
      <c r="ACH2" s="22"/>
      <c r="ACI2" s="22"/>
      <c r="ACJ2" s="22"/>
      <c r="ACK2" s="22"/>
      <c r="ACL2" s="22"/>
      <c r="ACM2" s="22"/>
      <c r="ACN2" s="22"/>
      <c r="ACO2" s="22"/>
      <c r="ACP2" s="22"/>
      <c r="ACQ2" s="22"/>
      <c r="ACR2" s="22"/>
      <c r="ACS2" s="22"/>
      <c r="ACT2" s="22"/>
      <c r="ACU2" s="22"/>
      <c r="ACV2" s="22"/>
      <c r="ACW2" s="22"/>
      <c r="ACX2" s="22"/>
      <c r="ACY2" s="22"/>
      <c r="ACZ2" s="22"/>
      <c r="ADA2" s="22"/>
      <c r="ADB2" s="22"/>
      <c r="ADC2" s="22"/>
      <c r="ADD2" s="22"/>
      <c r="ADE2" s="22"/>
      <c r="ADF2" s="22"/>
      <c r="ADG2" s="22"/>
      <c r="ADH2" s="22"/>
      <c r="ADI2" s="22"/>
      <c r="ADJ2" s="22"/>
      <c r="ADK2" s="22"/>
      <c r="ADL2" s="22"/>
      <c r="ADM2" s="22"/>
      <c r="ADN2" s="22"/>
      <c r="ADO2" s="22"/>
      <c r="ADP2" s="22"/>
      <c r="ADQ2" s="22"/>
      <c r="ADR2" s="22"/>
      <c r="ADS2" s="22"/>
      <c r="ADT2" s="22"/>
      <c r="ADU2" s="22"/>
      <c r="ADV2" s="22"/>
      <c r="ADW2" s="22"/>
      <c r="ADX2" s="22"/>
      <c r="ADY2" s="22"/>
      <c r="ADZ2" s="22"/>
      <c r="AEA2" s="22"/>
      <c r="AEB2" s="22"/>
      <c r="AEC2" s="22"/>
      <c r="AED2" s="22"/>
      <c r="AEE2" s="22"/>
      <c r="AEF2" s="22"/>
      <c r="AEG2" s="22"/>
      <c r="AEH2" s="22"/>
      <c r="AEI2" s="22"/>
      <c r="AEJ2" s="22"/>
      <c r="AEK2" s="22"/>
      <c r="AEL2" s="22"/>
      <c r="AEM2" s="22"/>
      <c r="AEN2" s="22"/>
      <c r="AEO2" s="22"/>
      <c r="AEP2" s="22"/>
      <c r="AEQ2" s="22"/>
      <c r="AER2" s="22"/>
      <c r="AES2" s="22"/>
      <c r="AET2" s="22"/>
      <c r="AEU2" s="22"/>
      <c r="AEV2" s="22"/>
      <c r="AEW2" s="22"/>
      <c r="AEX2" s="22"/>
      <c r="AEY2" s="22"/>
      <c r="AEZ2" s="22"/>
      <c r="AFA2" s="22"/>
      <c r="AFB2" s="22"/>
      <c r="AFC2" s="22"/>
      <c r="AFD2" s="22"/>
      <c r="AFE2" s="22"/>
      <c r="AFF2" s="22"/>
      <c r="AFG2" s="22"/>
      <c r="AFH2" s="22"/>
      <c r="AFI2" s="22"/>
      <c r="AFJ2" s="22"/>
      <c r="AFK2" s="22"/>
      <c r="AFL2" s="22"/>
      <c r="AFM2" s="22"/>
      <c r="AFN2" s="22"/>
      <c r="AFO2" s="22"/>
      <c r="AFP2" s="22"/>
      <c r="AFQ2" s="22"/>
      <c r="AFR2" s="22"/>
      <c r="AFS2" s="22"/>
      <c r="AFT2" s="22"/>
      <c r="AFU2" s="22"/>
      <c r="AFV2" s="22"/>
      <c r="AFW2" s="22"/>
      <c r="AFX2" s="22"/>
      <c r="AFY2" s="22"/>
      <c r="AFZ2" s="22"/>
      <c r="AGA2" s="22"/>
      <c r="AGB2" s="22"/>
      <c r="AGC2" s="22"/>
      <c r="AGD2" s="22"/>
      <c r="AGE2" s="22"/>
      <c r="AGF2" s="22"/>
      <c r="AGG2" s="22"/>
      <c r="AGH2" s="22"/>
      <c r="AGI2" s="22"/>
      <c r="AGJ2" s="22"/>
      <c r="AGK2" s="22"/>
      <c r="AGL2" s="22"/>
      <c r="AGM2" s="22"/>
      <c r="AGN2" s="22"/>
      <c r="AGO2" s="22"/>
      <c r="AGP2" s="22"/>
      <c r="AGQ2" s="22"/>
      <c r="AGR2" s="22"/>
      <c r="AGS2" s="22"/>
      <c r="AGT2" s="22"/>
      <c r="AGU2" s="22"/>
      <c r="AGV2" s="22"/>
      <c r="AGW2" s="22"/>
      <c r="AGX2" s="22"/>
      <c r="AGY2" s="22"/>
      <c r="AGZ2" s="22"/>
      <c r="AHA2" s="22"/>
      <c r="AHB2" s="22"/>
      <c r="AHC2" s="22"/>
      <c r="AHD2" s="22"/>
      <c r="AHE2" s="22"/>
      <c r="AHF2" s="22"/>
      <c r="AHG2" s="22"/>
      <c r="AHH2" s="22"/>
      <c r="AHI2" s="22"/>
      <c r="AHJ2" s="22"/>
      <c r="AHK2" s="22"/>
      <c r="AHL2" s="22"/>
      <c r="AHM2" s="22"/>
      <c r="AHN2" s="22"/>
      <c r="AHO2" s="22"/>
      <c r="AHP2" s="22"/>
      <c r="AHQ2" s="22"/>
      <c r="AHR2" s="22"/>
      <c r="AHS2" s="22"/>
      <c r="AHT2" s="22"/>
      <c r="AHU2" s="22"/>
      <c r="AHV2" s="22"/>
      <c r="AHW2" s="22"/>
      <c r="AHX2" s="22"/>
      <c r="AHY2" s="22"/>
      <c r="AHZ2" s="22"/>
      <c r="AIA2" s="22"/>
      <c r="AIB2" s="22"/>
      <c r="AIC2" s="22"/>
      <c r="AID2" s="22"/>
      <c r="AIE2" s="22"/>
      <c r="AIF2" s="22"/>
      <c r="AIG2" s="22"/>
      <c r="AIH2" s="22"/>
      <c r="AII2" s="22"/>
      <c r="AIJ2" s="22"/>
      <c r="AIK2" s="22"/>
      <c r="AIL2" s="22"/>
      <c r="AIM2" s="22"/>
      <c r="AIN2" s="22"/>
      <c r="AIO2" s="22"/>
      <c r="AIP2" s="22"/>
      <c r="AIQ2" s="22"/>
      <c r="AIR2" s="22"/>
      <c r="AIS2" s="22"/>
      <c r="AIT2" s="22"/>
      <c r="AIU2" s="22"/>
      <c r="AIV2" s="22"/>
      <c r="AIW2" s="22"/>
      <c r="AIX2" s="22"/>
      <c r="AIY2" s="22"/>
      <c r="AIZ2" s="22"/>
      <c r="AJA2" s="22"/>
      <c r="AJB2" s="22"/>
      <c r="AJC2" s="22"/>
      <c r="AJD2" s="22"/>
      <c r="AJE2" s="22"/>
      <c r="AJF2" s="22"/>
      <c r="AJG2" s="22"/>
      <c r="AJH2" s="22"/>
      <c r="AJI2" s="22"/>
      <c r="AJJ2" s="22"/>
      <c r="AJK2" s="22"/>
      <c r="AJL2" s="22"/>
      <c r="AJM2" s="22"/>
      <c r="AJN2" s="22"/>
      <c r="AJO2" s="22"/>
      <c r="AJP2" s="22"/>
      <c r="AJQ2" s="22"/>
      <c r="AJR2" s="22"/>
      <c r="AJS2" s="22"/>
      <c r="AJT2" s="22"/>
      <c r="AJU2" s="22"/>
      <c r="AJV2" s="22"/>
      <c r="AJW2" s="22"/>
      <c r="AJX2" s="22"/>
      <c r="AJY2" s="22"/>
      <c r="AJZ2" s="22"/>
      <c r="AKA2" s="22"/>
      <c r="AKB2" s="22"/>
      <c r="AKC2" s="22"/>
      <c r="AKD2" s="22"/>
      <c r="AKE2" s="22"/>
      <c r="AKF2" s="22"/>
      <c r="AKG2" s="22"/>
      <c r="AKH2" s="22"/>
      <c r="AKI2" s="22"/>
      <c r="AKJ2" s="22"/>
      <c r="AKK2" s="22"/>
      <c r="AKL2" s="22"/>
      <c r="AKM2" s="22"/>
      <c r="AKN2" s="22"/>
      <c r="AKO2" s="22"/>
      <c r="AKP2" s="22"/>
      <c r="AKQ2" s="22"/>
      <c r="AKR2" s="22"/>
      <c r="AKS2" s="22"/>
      <c r="AKT2" s="22"/>
      <c r="AKU2" s="22"/>
      <c r="AKV2" s="22"/>
      <c r="AKW2" s="22"/>
      <c r="AKX2" s="22"/>
      <c r="AKY2" s="22"/>
      <c r="AKZ2" s="22"/>
      <c r="ALA2" s="22"/>
      <c r="ALB2" s="22"/>
      <c r="ALC2" s="22"/>
      <c r="ALD2" s="22"/>
      <c r="ALE2" s="22"/>
      <c r="ALF2" s="22"/>
      <c r="ALG2" s="22"/>
      <c r="ALH2" s="22"/>
      <c r="ALI2" s="22"/>
      <c r="ALJ2" s="22"/>
      <c r="ALK2" s="22"/>
      <c r="ALL2" s="22"/>
      <c r="ALM2" s="22"/>
      <c r="ALN2" s="22"/>
      <c r="ALO2" s="22"/>
      <c r="ALP2" s="22"/>
      <c r="ALQ2" s="22"/>
      <c r="ALR2" s="22"/>
      <c r="ALS2" s="22"/>
      <c r="ALT2" s="22"/>
      <c r="ALU2" s="22"/>
      <c r="ALV2" s="22"/>
      <c r="ALW2" s="22"/>
      <c r="ALX2" s="22"/>
      <c r="ALY2" s="22"/>
      <c r="ALZ2" s="22"/>
      <c r="AMA2" s="22"/>
      <c r="AMB2" s="22"/>
      <c r="AMC2" s="22"/>
      <c r="AMD2" s="22"/>
      <c r="AME2" s="22"/>
      <c r="AMF2" s="22"/>
      <c r="AMG2" s="22"/>
      <c r="AMH2" s="22"/>
      <c r="AMI2" s="22"/>
      <c r="AMJ2" s="22"/>
      <c r="AMK2" s="22"/>
      <c r="AML2" s="22"/>
      <c r="AMM2" s="22"/>
      <c r="AMN2" s="22"/>
    </row>
    <row r="3" spans="1:1028" ht="15.75" x14ac:dyDescent="0.25">
      <c r="A3" s="23" t="s">
        <v>32</v>
      </c>
      <c r="B3" s="24" t="s">
        <v>38</v>
      </c>
      <c r="C3" s="25" t="s">
        <v>40</v>
      </c>
      <c r="D3" s="26">
        <v>1</v>
      </c>
      <c r="E3" s="26">
        <f t="shared" ref="E3:E8" si="7">SUM(F3:H3)</f>
        <v>900</v>
      </c>
      <c r="F3" s="26"/>
      <c r="G3" s="26">
        <v>900</v>
      </c>
      <c r="H3" s="26"/>
      <c r="I3" s="26">
        <f t="shared" ref="I3:I8" si="8">E3*D3</f>
        <v>900</v>
      </c>
      <c r="J3" s="26"/>
      <c r="K3" s="26"/>
      <c r="L3" s="26">
        <v>3</v>
      </c>
      <c r="M3" s="26">
        <f t="shared" si="0"/>
        <v>300</v>
      </c>
      <c r="N3" s="72">
        <v>5.13</v>
      </c>
      <c r="O3" s="72">
        <f>N3+17/R3</f>
        <v>5.3254022988505749</v>
      </c>
      <c r="P3" s="27">
        <f t="shared" ref="P3:P7" si="9">N3*E3</f>
        <v>4617</v>
      </c>
      <c r="Q3" s="28">
        <f>D3*E3*0.97</f>
        <v>873</v>
      </c>
      <c r="R3" s="24">
        <v>87</v>
      </c>
      <c r="S3" s="29">
        <f t="shared" ref="S3:S6" si="10">N3*R3</f>
        <v>446.31</v>
      </c>
      <c r="T3" s="29">
        <f t="shared" si="1"/>
        <v>401679</v>
      </c>
      <c r="U3" s="29">
        <f t="shared" si="2"/>
        <v>120503.7</v>
      </c>
      <c r="V3" s="29">
        <f t="shared" si="3"/>
        <v>79932.592457642575</v>
      </c>
      <c r="W3" s="29">
        <f t="shared" si="4"/>
        <v>1639.6429222080528</v>
      </c>
      <c r="X3" s="29">
        <f t="shared" ref="X3" si="11">T3+U3+V3+W3</f>
        <v>603754.93537985068</v>
      </c>
      <c r="Y3" s="30">
        <f t="shared" ref="Y3" si="12">IFERROR(SUM(X3/E3),"")</f>
        <v>670.83881708872298</v>
      </c>
      <c r="Z3" s="66">
        <f t="shared" si="6"/>
        <v>656.2888936528085</v>
      </c>
      <c r="AA3" s="31">
        <v>670</v>
      </c>
      <c r="AB3" s="32">
        <f>IFERROR((AA3-Y3)/Y3,"")</f>
        <v>-1.2504003455900748E-3</v>
      </c>
      <c r="AC3" s="67">
        <f t="shared" ref="AC3:AC6" si="13">(AA3-Z3)/Z3</f>
        <v>2.0891876245044284E-2</v>
      </c>
      <c r="AD3" s="33">
        <f t="shared" ref="AD3:AD7" si="14">AA3*E3</f>
        <v>603000</v>
      </c>
      <c r="AE3" s="33">
        <f t="shared" ref="AE3:AE7" si="15">IFERROR(Y3*E3,"")</f>
        <v>603754.93537985068</v>
      </c>
      <c r="AF3" s="65">
        <f t="shared" ref="AF3:AF7" si="16">Z3*E3</f>
        <v>590660.00428752764</v>
      </c>
      <c r="AG3" s="21"/>
      <c r="AH3" s="21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  <c r="AML3" s="22"/>
      <c r="AMM3" s="22"/>
      <c r="AMN3" s="22"/>
    </row>
    <row r="4" spans="1:1028" ht="30" customHeight="1" x14ac:dyDescent="0.25">
      <c r="A4" s="23" t="s">
        <v>33</v>
      </c>
      <c r="B4" s="24" t="s">
        <v>38</v>
      </c>
      <c r="C4" s="25" t="s">
        <v>41</v>
      </c>
      <c r="D4" s="26">
        <v>5</v>
      </c>
      <c r="E4" s="26">
        <f t="shared" si="7"/>
        <v>1404</v>
      </c>
      <c r="F4" s="26"/>
      <c r="G4" s="26">
        <v>1248</v>
      </c>
      <c r="H4" s="26">
        <v>156</v>
      </c>
      <c r="I4" s="26">
        <f t="shared" si="8"/>
        <v>7020</v>
      </c>
      <c r="J4" s="26"/>
      <c r="K4" s="26"/>
      <c r="L4" s="26">
        <v>3</v>
      </c>
      <c r="M4" s="26">
        <f t="shared" si="0"/>
        <v>468</v>
      </c>
      <c r="N4" s="72">
        <v>25.66</v>
      </c>
      <c r="O4" s="72">
        <f t="shared" ref="O4:O7" si="17">N4+17/R4</f>
        <v>25.855402298850574</v>
      </c>
      <c r="P4" s="27">
        <f t="shared" si="9"/>
        <v>36026.639999999999</v>
      </c>
      <c r="Q4" s="28">
        <f>D4*E4*0.97</f>
        <v>6809.4</v>
      </c>
      <c r="R4" s="24">
        <v>87</v>
      </c>
      <c r="S4" s="29">
        <f t="shared" si="10"/>
        <v>2232.42</v>
      </c>
      <c r="T4" s="29">
        <f t="shared" si="1"/>
        <v>3134317.68</v>
      </c>
      <c r="U4" s="29">
        <f t="shared" si="2"/>
        <v>940295.30399999989</v>
      </c>
      <c r="V4" s="29">
        <f t="shared" si="3"/>
        <v>623474.22116961202</v>
      </c>
      <c r="W4" s="29">
        <f t="shared" si="4"/>
        <v>12789.214793222811</v>
      </c>
      <c r="X4" s="29">
        <f t="shared" si="5"/>
        <v>4710876.4199628355</v>
      </c>
      <c r="Y4" s="30">
        <f>IFERROR(SUM(X4/E4),"")</f>
        <v>3355.3250854436151</v>
      </c>
      <c r="Z4" s="66">
        <f t="shared" si="6"/>
        <v>3282.7237838462115</v>
      </c>
      <c r="AA4" s="31">
        <v>3350</v>
      </c>
      <c r="AB4" s="32">
        <f t="shared" ref="AB4:AB7" si="18">IFERROR((AA4-Y4)/Y4,"")</f>
        <v>-1.5870549970603037E-3</v>
      </c>
      <c r="AC4" s="67">
        <f t="shared" si="13"/>
        <v>2.0494022824839725E-2</v>
      </c>
      <c r="AD4" s="33">
        <f t="shared" si="14"/>
        <v>4703400</v>
      </c>
      <c r="AE4" s="33">
        <f t="shared" si="15"/>
        <v>4710876.4199628355</v>
      </c>
      <c r="AF4" s="65">
        <f t="shared" si="16"/>
        <v>4608944.1925200811</v>
      </c>
      <c r="AG4" s="21"/>
      <c r="AH4" s="21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  <c r="LO4" s="22"/>
      <c r="LP4" s="22"/>
      <c r="LQ4" s="22"/>
      <c r="LR4" s="22"/>
      <c r="LS4" s="22"/>
      <c r="LT4" s="22"/>
      <c r="LU4" s="22"/>
      <c r="LV4" s="22"/>
      <c r="LW4" s="22"/>
      <c r="LX4" s="22"/>
      <c r="LY4" s="22"/>
      <c r="LZ4" s="22"/>
      <c r="MA4" s="22"/>
      <c r="MB4" s="22"/>
      <c r="MC4" s="22"/>
      <c r="MD4" s="22"/>
      <c r="ME4" s="22"/>
      <c r="MF4" s="22"/>
      <c r="MG4" s="22"/>
      <c r="MH4" s="22"/>
      <c r="MI4" s="22"/>
      <c r="MJ4" s="22"/>
      <c r="MK4" s="22"/>
      <c r="ML4" s="22"/>
      <c r="MM4" s="22"/>
      <c r="MN4" s="22"/>
      <c r="MO4" s="22"/>
      <c r="MP4" s="22"/>
      <c r="MQ4" s="22"/>
      <c r="MR4" s="22"/>
      <c r="MS4" s="22"/>
      <c r="MT4" s="22"/>
      <c r="MU4" s="22"/>
      <c r="MV4" s="22"/>
      <c r="MW4" s="22"/>
      <c r="MX4" s="22"/>
      <c r="MY4" s="22"/>
      <c r="MZ4" s="22"/>
      <c r="NA4" s="22"/>
      <c r="NB4" s="22"/>
      <c r="NC4" s="22"/>
      <c r="ND4" s="22"/>
      <c r="NE4" s="22"/>
      <c r="NF4" s="22"/>
      <c r="NG4" s="22"/>
      <c r="NH4" s="22"/>
      <c r="NI4" s="22"/>
      <c r="NJ4" s="22"/>
      <c r="NK4" s="22"/>
      <c r="NL4" s="22"/>
      <c r="NM4" s="22"/>
      <c r="NN4" s="22"/>
      <c r="NO4" s="22"/>
      <c r="NP4" s="22"/>
      <c r="NQ4" s="22"/>
      <c r="NR4" s="22"/>
      <c r="NS4" s="22"/>
      <c r="NT4" s="22"/>
      <c r="NU4" s="22"/>
      <c r="NV4" s="22"/>
      <c r="NW4" s="22"/>
      <c r="NX4" s="22"/>
      <c r="NY4" s="22"/>
      <c r="NZ4" s="22"/>
      <c r="OA4" s="22"/>
      <c r="OB4" s="22"/>
      <c r="OC4" s="22"/>
      <c r="OD4" s="22"/>
      <c r="OE4" s="22"/>
      <c r="OF4" s="22"/>
      <c r="OG4" s="22"/>
      <c r="OH4" s="22"/>
      <c r="OI4" s="22"/>
      <c r="OJ4" s="22"/>
      <c r="OK4" s="22"/>
      <c r="OL4" s="22"/>
      <c r="OM4" s="22"/>
      <c r="ON4" s="22"/>
      <c r="OO4" s="22"/>
      <c r="OP4" s="22"/>
      <c r="OQ4" s="22"/>
      <c r="OR4" s="22"/>
      <c r="OS4" s="22"/>
      <c r="OT4" s="22"/>
      <c r="OU4" s="22"/>
      <c r="OV4" s="22"/>
      <c r="OW4" s="22"/>
      <c r="OX4" s="22"/>
      <c r="OY4" s="22"/>
      <c r="OZ4" s="22"/>
      <c r="PA4" s="22"/>
      <c r="PB4" s="22"/>
      <c r="PC4" s="22"/>
      <c r="PD4" s="22"/>
      <c r="PE4" s="22"/>
      <c r="PF4" s="22"/>
      <c r="PG4" s="22"/>
      <c r="PH4" s="22"/>
      <c r="PI4" s="22"/>
      <c r="PJ4" s="22"/>
      <c r="PK4" s="22"/>
      <c r="PL4" s="22"/>
      <c r="PM4" s="22"/>
      <c r="PN4" s="22"/>
      <c r="PO4" s="22"/>
      <c r="PP4" s="22"/>
      <c r="PQ4" s="22"/>
      <c r="PR4" s="22"/>
      <c r="PS4" s="22"/>
      <c r="PT4" s="22"/>
      <c r="PU4" s="22"/>
      <c r="PV4" s="22"/>
      <c r="PW4" s="22"/>
      <c r="PX4" s="22"/>
      <c r="PY4" s="22"/>
      <c r="PZ4" s="22"/>
      <c r="QA4" s="22"/>
      <c r="QB4" s="22"/>
      <c r="QC4" s="22"/>
      <c r="QD4" s="22"/>
      <c r="QE4" s="22"/>
      <c r="QF4" s="22"/>
      <c r="QG4" s="22"/>
      <c r="QH4" s="22"/>
      <c r="QI4" s="22"/>
      <c r="QJ4" s="22"/>
      <c r="QK4" s="22"/>
      <c r="QL4" s="22"/>
      <c r="QM4" s="22"/>
      <c r="QN4" s="22"/>
      <c r="QO4" s="22"/>
      <c r="QP4" s="22"/>
      <c r="QQ4" s="22"/>
      <c r="QR4" s="22"/>
      <c r="QS4" s="22"/>
      <c r="QT4" s="22"/>
      <c r="QU4" s="22"/>
      <c r="QV4" s="22"/>
      <c r="QW4" s="22"/>
      <c r="QX4" s="22"/>
      <c r="QY4" s="22"/>
      <c r="QZ4" s="22"/>
      <c r="RA4" s="22"/>
      <c r="RB4" s="22"/>
      <c r="RC4" s="22"/>
      <c r="RD4" s="22"/>
      <c r="RE4" s="22"/>
      <c r="RF4" s="22"/>
      <c r="RG4" s="22"/>
      <c r="RH4" s="22"/>
      <c r="RI4" s="22"/>
      <c r="RJ4" s="22"/>
      <c r="RK4" s="22"/>
      <c r="RL4" s="22"/>
      <c r="RM4" s="22"/>
      <c r="RN4" s="22"/>
      <c r="RO4" s="22"/>
      <c r="RP4" s="22"/>
      <c r="RQ4" s="22"/>
      <c r="RR4" s="22"/>
      <c r="RS4" s="22"/>
      <c r="RT4" s="22"/>
      <c r="RU4" s="22"/>
      <c r="RV4" s="22"/>
      <c r="RW4" s="22"/>
      <c r="RX4" s="22"/>
      <c r="RY4" s="22"/>
      <c r="RZ4" s="22"/>
      <c r="SA4" s="22"/>
      <c r="SB4" s="22"/>
      <c r="SC4" s="22"/>
      <c r="SD4" s="22"/>
      <c r="SE4" s="22"/>
      <c r="SF4" s="22"/>
      <c r="SG4" s="22"/>
      <c r="SH4" s="22"/>
      <c r="SI4" s="22"/>
      <c r="SJ4" s="22"/>
      <c r="SK4" s="22"/>
      <c r="SL4" s="22"/>
      <c r="SM4" s="22"/>
      <c r="SN4" s="22"/>
      <c r="SO4" s="22"/>
      <c r="SP4" s="22"/>
      <c r="SQ4" s="22"/>
      <c r="SR4" s="22"/>
      <c r="SS4" s="22"/>
      <c r="ST4" s="22"/>
      <c r="SU4" s="22"/>
      <c r="SV4" s="22"/>
      <c r="SW4" s="22"/>
      <c r="SX4" s="22"/>
      <c r="SY4" s="22"/>
      <c r="SZ4" s="22"/>
      <c r="TA4" s="22"/>
      <c r="TB4" s="22"/>
      <c r="TC4" s="22"/>
      <c r="TD4" s="22"/>
      <c r="TE4" s="22"/>
      <c r="TF4" s="22"/>
      <c r="TG4" s="22"/>
      <c r="TH4" s="22"/>
      <c r="TI4" s="22"/>
      <c r="TJ4" s="22"/>
      <c r="TK4" s="22"/>
      <c r="TL4" s="22"/>
      <c r="TM4" s="22"/>
      <c r="TN4" s="22"/>
      <c r="TO4" s="22"/>
      <c r="TP4" s="22"/>
      <c r="TQ4" s="22"/>
      <c r="TR4" s="22"/>
      <c r="TS4" s="22"/>
      <c r="TT4" s="22"/>
      <c r="TU4" s="22"/>
      <c r="TV4" s="22"/>
      <c r="TW4" s="22"/>
      <c r="TX4" s="22"/>
      <c r="TY4" s="22"/>
      <c r="TZ4" s="22"/>
      <c r="UA4" s="22"/>
      <c r="UB4" s="22"/>
      <c r="UC4" s="22"/>
      <c r="UD4" s="22"/>
      <c r="UE4" s="22"/>
      <c r="UF4" s="22"/>
      <c r="UG4" s="22"/>
      <c r="UH4" s="22"/>
      <c r="UI4" s="22"/>
      <c r="UJ4" s="22"/>
      <c r="UK4" s="22"/>
      <c r="UL4" s="22"/>
      <c r="UM4" s="22"/>
      <c r="UN4" s="22"/>
      <c r="UO4" s="22"/>
      <c r="UP4" s="22"/>
      <c r="UQ4" s="22"/>
      <c r="UR4" s="22"/>
      <c r="US4" s="22"/>
      <c r="UT4" s="22"/>
      <c r="UU4" s="22"/>
      <c r="UV4" s="22"/>
      <c r="UW4" s="22"/>
      <c r="UX4" s="22"/>
      <c r="UY4" s="22"/>
      <c r="UZ4" s="22"/>
      <c r="VA4" s="22"/>
      <c r="VB4" s="22"/>
      <c r="VC4" s="22"/>
      <c r="VD4" s="22"/>
      <c r="VE4" s="22"/>
      <c r="VF4" s="22"/>
      <c r="VG4" s="22"/>
      <c r="VH4" s="22"/>
      <c r="VI4" s="22"/>
      <c r="VJ4" s="22"/>
      <c r="VK4" s="22"/>
      <c r="VL4" s="22"/>
      <c r="VM4" s="22"/>
      <c r="VN4" s="22"/>
      <c r="VO4" s="22"/>
      <c r="VP4" s="22"/>
      <c r="VQ4" s="22"/>
      <c r="VR4" s="22"/>
      <c r="VS4" s="22"/>
      <c r="VT4" s="22"/>
      <c r="VU4" s="22"/>
      <c r="VV4" s="22"/>
      <c r="VW4" s="22"/>
      <c r="VX4" s="22"/>
      <c r="VY4" s="22"/>
      <c r="VZ4" s="22"/>
      <c r="WA4" s="22"/>
      <c r="WB4" s="22"/>
      <c r="WC4" s="22"/>
      <c r="WD4" s="22"/>
      <c r="WE4" s="22"/>
      <c r="WF4" s="22"/>
      <c r="WG4" s="22"/>
      <c r="WH4" s="22"/>
      <c r="WI4" s="22"/>
      <c r="WJ4" s="22"/>
      <c r="WK4" s="22"/>
      <c r="WL4" s="22"/>
      <c r="WM4" s="22"/>
      <c r="WN4" s="22"/>
      <c r="WO4" s="22"/>
      <c r="WP4" s="22"/>
      <c r="WQ4" s="22"/>
      <c r="WR4" s="22"/>
      <c r="WS4" s="22"/>
      <c r="WT4" s="22"/>
      <c r="WU4" s="22"/>
      <c r="WV4" s="22"/>
      <c r="WW4" s="22"/>
      <c r="WX4" s="22"/>
      <c r="WY4" s="22"/>
      <c r="WZ4" s="22"/>
      <c r="XA4" s="22"/>
      <c r="XB4" s="22"/>
      <c r="XC4" s="22"/>
      <c r="XD4" s="22"/>
      <c r="XE4" s="22"/>
      <c r="XF4" s="22"/>
      <c r="XG4" s="22"/>
      <c r="XH4" s="22"/>
      <c r="XI4" s="22"/>
      <c r="XJ4" s="22"/>
      <c r="XK4" s="22"/>
      <c r="XL4" s="22"/>
      <c r="XM4" s="22"/>
      <c r="XN4" s="22"/>
      <c r="XO4" s="22"/>
      <c r="XP4" s="22"/>
      <c r="XQ4" s="22"/>
      <c r="XR4" s="22"/>
      <c r="XS4" s="22"/>
      <c r="XT4" s="22"/>
      <c r="XU4" s="22"/>
      <c r="XV4" s="22"/>
      <c r="XW4" s="22"/>
      <c r="XX4" s="22"/>
      <c r="XY4" s="22"/>
      <c r="XZ4" s="22"/>
      <c r="YA4" s="22"/>
      <c r="YB4" s="22"/>
      <c r="YC4" s="22"/>
      <c r="YD4" s="22"/>
      <c r="YE4" s="22"/>
      <c r="YF4" s="22"/>
      <c r="YG4" s="22"/>
      <c r="YH4" s="22"/>
      <c r="YI4" s="22"/>
      <c r="YJ4" s="22"/>
      <c r="YK4" s="22"/>
      <c r="YL4" s="22"/>
      <c r="YM4" s="22"/>
      <c r="YN4" s="22"/>
      <c r="YO4" s="22"/>
      <c r="YP4" s="22"/>
      <c r="YQ4" s="22"/>
      <c r="YR4" s="22"/>
      <c r="YS4" s="22"/>
      <c r="YT4" s="22"/>
      <c r="YU4" s="22"/>
      <c r="YV4" s="22"/>
      <c r="YW4" s="22"/>
      <c r="YX4" s="22"/>
      <c r="YY4" s="22"/>
      <c r="YZ4" s="22"/>
      <c r="ZA4" s="22"/>
      <c r="ZB4" s="22"/>
      <c r="ZC4" s="22"/>
      <c r="ZD4" s="22"/>
      <c r="ZE4" s="22"/>
      <c r="ZF4" s="22"/>
      <c r="ZG4" s="22"/>
      <c r="ZH4" s="22"/>
      <c r="ZI4" s="22"/>
      <c r="ZJ4" s="22"/>
      <c r="ZK4" s="22"/>
      <c r="ZL4" s="22"/>
      <c r="ZM4" s="22"/>
      <c r="ZN4" s="22"/>
      <c r="ZO4" s="22"/>
      <c r="ZP4" s="22"/>
      <c r="ZQ4" s="22"/>
      <c r="ZR4" s="22"/>
      <c r="ZS4" s="22"/>
      <c r="ZT4" s="22"/>
      <c r="ZU4" s="22"/>
      <c r="ZV4" s="22"/>
      <c r="ZW4" s="22"/>
      <c r="ZX4" s="22"/>
      <c r="ZY4" s="22"/>
      <c r="ZZ4" s="22"/>
      <c r="AAA4" s="22"/>
      <c r="AAB4" s="22"/>
      <c r="AAC4" s="22"/>
      <c r="AAD4" s="22"/>
      <c r="AAE4" s="22"/>
      <c r="AAF4" s="22"/>
      <c r="AAG4" s="22"/>
      <c r="AAH4" s="22"/>
      <c r="AAI4" s="22"/>
      <c r="AAJ4" s="22"/>
      <c r="AAK4" s="22"/>
      <c r="AAL4" s="22"/>
      <c r="AAM4" s="22"/>
      <c r="AAN4" s="22"/>
      <c r="AAO4" s="22"/>
      <c r="AAP4" s="22"/>
      <c r="AAQ4" s="22"/>
      <c r="AAR4" s="22"/>
      <c r="AAS4" s="22"/>
      <c r="AAT4" s="22"/>
      <c r="AAU4" s="22"/>
      <c r="AAV4" s="22"/>
      <c r="AAW4" s="22"/>
      <c r="AAX4" s="22"/>
      <c r="AAY4" s="22"/>
      <c r="AAZ4" s="22"/>
      <c r="ABA4" s="22"/>
      <c r="ABB4" s="22"/>
      <c r="ABC4" s="22"/>
      <c r="ABD4" s="22"/>
      <c r="ABE4" s="22"/>
      <c r="ABF4" s="22"/>
      <c r="ABG4" s="22"/>
      <c r="ABH4" s="22"/>
      <c r="ABI4" s="22"/>
      <c r="ABJ4" s="22"/>
      <c r="ABK4" s="22"/>
      <c r="ABL4" s="22"/>
      <c r="ABM4" s="22"/>
      <c r="ABN4" s="22"/>
      <c r="ABO4" s="22"/>
      <c r="ABP4" s="22"/>
      <c r="ABQ4" s="22"/>
      <c r="ABR4" s="22"/>
      <c r="ABS4" s="22"/>
      <c r="ABT4" s="22"/>
      <c r="ABU4" s="22"/>
      <c r="ABV4" s="22"/>
      <c r="ABW4" s="22"/>
      <c r="ABX4" s="22"/>
      <c r="ABY4" s="22"/>
      <c r="ABZ4" s="22"/>
      <c r="ACA4" s="22"/>
      <c r="ACB4" s="22"/>
      <c r="ACC4" s="22"/>
      <c r="ACD4" s="22"/>
      <c r="ACE4" s="22"/>
      <c r="ACF4" s="22"/>
      <c r="ACG4" s="22"/>
      <c r="ACH4" s="22"/>
      <c r="ACI4" s="22"/>
      <c r="ACJ4" s="22"/>
      <c r="ACK4" s="22"/>
      <c r="ACL4" s="22"/>
      <c r="ACM4" s="22"/>
      <c r="ACN4" s="22"/>
      <c r="ACO4" s="22"/>
      <c r="ACP4" s="22"/>
      <c r="ACQ4" s="22"/>
      <c r="ACR4" s="22"/>
      <c r="ACS4" s="22"/>
      <c r="ACT4" s="22"/>
      <c r="ACU4" s="22"/>
      <c r="ACV4" s="22"/>
      <c r="ACW4" s="22"/>
      <c r="ACX4" s="22"/>
      <c r="ACY4" s="22"/>
      <c r="ACZ4" s="22"/>
      <c r="ADA4" s="22"/>
      <c r="ADB4" s="22"/>
      <c r="ADC4" s="22"/>
      <c r="ADD4" s="22"/>
      <c r="ADE4" s="22"/>
      <c r="ADF4" s="22"/>
      <c r="ADG4" s="22"/>
      <c r="ADH4" s="22"/>
      <c r="ADI4" s="22"/>
      <c r="ADJ4" s="22"/>
      <c r="ADK4" s="22"/>
      <c r="ADL4" s="22"/>
      <c r="ADM4" s="22"/>
      <c r="ADN4" s="22"/>
      <c r="ADO4" s="22"/>
      <c r="ADP4" s="22"/>
      <c r="ADQ4" s="22"/>
      <c r="ADR4" s="22"/>
      <c r="ADS4" s="22"/>
      <c r="ADT4" s="22"/>
      <c r="ADU4" s="22"/>
      <c r="ADV4" s="22"/>
      <c r="ADW4" s="22"/>
      <c r="ADX4" s="22"/>
      <c r="ADY4" s="22"/>
      <c r="ADZ4" s="22"/>
      <c r="AEA4" s="22"/>
      <c r="AEB4" s="22"/>
      <c r="AEC4" s="22"/>
      <c r="AED4" s="22"/>
      <c r="AEE4" s="22"/>
      <c r="AEF4" s="22"/>
      <c r="AEG4" s="22"/>
      <c r="AEH4" s="22"/>
      <c r="AEI4" s="22"/>
      <c r="AEJ4" s="22"/>
      <c r="AEK4" s="22"/>
      <c r="AEL4" s="22"/>
      <c r="AEM4" s="22"/>
      <c r="AEN4" s="22"/>
      <c r="AEO4" s="22"/>
      <c r="AEP4" s="22"/>
      <c r="AEQ4" s="22"/>
      <c r="AER4" s="22"/>
      <c r="AES4" s="22"/>
      <c r="AET4" s="22"/>
      <c r="AEU4" s="22"/>
      <c r="AEV4" s="22"/>
      <c r="AEW4" s="22"/>
      <c r="AEX4" s="22"/>
      <c r="AEY4" s="22"/>
      <c r="AEZ4" s="22"/>
      <c r="AFA4" s="22"/>
      <c r="AFB4" s="22"/>
      <c r="AFC4" s="22"/>
      <c r="AFD4" s="22"/>
      <c r="AFE4" s="22"/>
      <c r="AFF4" s="22"/>
      <c r="AFG4" s="22"/>
      <c r="AFH4" s="22"/>
      <c r="AFI4" s="22"/>
      <c r="AFJ4" s="22"/>
      <c r="AFK4" s="22"/>
      <c r="AFL4" s="22"/>
      <c r="AFM4" s="22"/>
      <c r="AFN4" s="22"/>
      <c r="AFO4" s="22"/>
      <c r="AFP4" s="22"/>
      <c r="AFQ4" s="22"/>
      <c r="AFR4" s="22"/>
      <c r="AFS4" s="22"/>
      <c r="AFT4" s="22"/>
      <c r="AFU4" s="22"/>
      <c r="AFV4" s="22"/>
      <c r="AFW4" s="22"/>
      <c r="AFX4" s="22"/>
      <c r="AFY4" s="22"/>
      <c r="AFZ4" s="22"/>
      <c r="AGA4" s="22"/>
      <c r="AGB4" s="22"/>
      <c r="AGC4" s="22"/>
      <c r="AGD4" s="22"/>
      <c r="AGE4" s="22"/>
      <c r="AGF4" s="22"/>
      <c r="AGG4" s="22"/>
      <c r="AGH4" s="22"/>
      <c r="AGI4" s="22"/>
      <c r="AGJ4" s="22"/>
      <c r="AGK4" s="22"/>
      <c r="AGL4" s="22"/>
      <c r="AGM4" s="22"/>
      <c r="AGN4" s="22"/>
      <c r="AGO4" s="22"/>
      <c r="AGP4" s="22"/>
      <c r="AGQ4" s="22"/>
      <c r="AGR4" s="22"/>
      <c r="AGS4" s="22"/>
      <c r="AGT4" s="22"/>
      <c r="AGU4" s="22"/>
      <c r="AGV4" s="22"/>
      <c r="AGW4" s="22"/>
      <c r="AGX4" s="22"/>
      <c r="AGY4" s="22"/>
      <c r="AGZ4" s="22"/>
      <c r="AHA4" s="22"/>
      <c r="AHB4" s="22"/>
      <c r="AHC4" s="22"/>
      <c r="AHD4" s="22"/>
      <c r="AHE4" s="22"/>
      <c r="AHF4" s="22"/>
      <c r="AHG4" s="22"/>
      <c r="AHH4" s="22"/>
      <c r="AHI4" s="22"/>
      <c r="AHJ4" s="22"/>
      <c r="AHK4" s="22"/>
      <c r="AHL4" s="22"/>
      <c r="AHM4" s="22"/>
      <c r="AHN4" s="22"/>
      <c r="AHO4" s="22"/>
      <c r="AHP4" s="22"/>
      <c r="AHQ4" s="22"/>
      <c r="AHR4" s="22"/>
      <c r="AHS4" s="22"/>
      <c r="AHT4" s="22"/>
      <c r="AHU4" s="22"/>
      <c r="AHV4" s="22"/>
      <c r="AHW4" s="22"/>
      <c r="AHX4" s="22"/>
      <c r="AHY4" s="22"/>
      <c r="AHZ4" s="22"/>
      <c r="AIA4" s="22"/>
      <c r="AIB4" s="22"/>
      <c r="AIC4" s="22"/>
      <c r="AID4" s="22"/>
      <c r="AIE4" s="22"/>
      <c r="AIF4" s="22"/>
      <c r="AIG4" s="22"/>
      <c r="AIH4" s="22"/>
      <c r="AII4" s="22"/>
      <c r="AIJ4" s="22"/>
      <c r="AIK4" s="22"/>
      <c r="AIL4" s="22"/>
      <c r="AIM4" s="22"/>
      <c r="AIN4" s="22"/>
      <c r="AIO4" s="22"/>
      <c r="AIP4" s="22"/>
      <c r="AIQ4" s="22"/>
      <c r="AIR4" s="22"/>
      <c r="AIS4" s="22"/>
      <c r="AIT4" s="22"/>
      <c r="AIU4" s="22"/>
      <c r="AIV4" s="22"/>
      <c r="AIW4" s="22"/>
      <c r="AIX4" s="22"/>
      <c r="AIY4" s="22"/>
      <c r="AIZ4" s="22"/>
      <c r="AJA4" s="22"/>
      <c r="AJB4" s="22"/>
      <c r="AJC4" s="22"/>
      <c r="AJD4" s="22"/>
      <c r="AJE4" s="22"/>
      <c r="AJF4" s="22"/>
      <c r="AJG4" s="22"/>
      <c r="AJH4" s="22"/>
      <c r="AJI4" s="22"/>
      <c r="AJJ4" s="22"/>
      <c r="AJK4" s="22"/>
      <c r="AJL4" s="22"/>
      <c r="AJM4" s="22"/>
      <c r="AJN4" s="22"/>
      <c r="AJO4" s="22"/>
      <c r="AJP4" s="22"/>
      <c r="AJQ4" s="22"/>
      <c r="AJR4" s="22"/>
      <c r="AJS4" s="22"/>
      <c r="AJT4" s="22"/>
      <c r="AJU4" s="22"/>
      <c r="AJV4" s="22"/>
      <c r="AJW4" s="22"/>
      <c r="AJX4" s="22"/>
      <c r="AJY4" s="22"/>
      <c r="AJZ4" s="22"/>
      <c r="AKA4" s="22"/>
      <c r="AKB4" s="22"/>
      <c r="AKC4" s="22"/>
      <c r="AKD4" s="22"/>
      <c r="AKE4" s="22"/>
      <c r="AKF4" s="22"/>
      <c r="AKG4" s="22"/>
      <c r="AKH4" s="22"/>
      <c r="AKI4" s="22"/>
      <c r="AKJ4" s="22"/>
      <c r="AKK4" s="22"/>
      <c r="AKL4" s="22"/>
      <c r="AKM4" s="22"/>
      <c r="AKN4" s="22"/>
      <c r="AKO4" s="22"/>
      <c r="AKP4" s="22"/>
      <c r="AKQ4" s="22"/>
      <c r="AKR4" s="22"/>
      <c r="AKS4" s="22"/>
      <c r="AKT4" s="22"/>
      <c r="AKU4" s="22"/>
      <c r="AKV4" s="22"/>
      <c r="AKW4" s="22"/>
      <c r="AKX4" s="22"/>
      <c r="AKY4" s="22"/>
      <c r="AKZ4" s="22"/>
      <c r="ALA4" s="22"/>
      <c r="ALB4" s="22"/>
      <c r="ALC4" s="22"/>
      <c r="ALD4" s="22"/>
      <c r="ALE4" s="22"/>
      <c r="ALF4" s="22"/>
      <c r="ALG4" s="22"/>
      <c r="ALH4" s="22"/>
      <c r="ALI4" s="22"/>
      <c r="ALJ4" s="22"/>
      <c r="ALK4" s="22"/>
      <c r="ALL4" s="22"/>
      <c r="ALM4" s="22"/>
      <c r="ALN4" s="22"/>
      <c r="ALO4" s="22"/>
      <c r="ALP4" s="22"/>
      <c r="ALQ4" s="22"/>
      <c r="ALR4" s="22"/>
      <c r="ALS4" s="22"/>
      <c r="ALT4" s="22"/>
      <c r="ALU4" s="22"/>
      <c r="ALV4" s="22"/>
      <c r="ALW4" s="22"/>
      <c r="ALX4" s="22"/>
      <c r="ALY4" s="22"/>
      <c r="ALZ4" s="22"/>
      <c r="AMA4" s="22"/>
      <c r="AMB4" s="22"/>
      <c r="AMC4" s="22"/>
      <c r="AMD4" s="22"/>
      <c r="AME4" s="22"/>
      <c r="AMF4" s="22"/>
      <c r="AMG4" s="22"/>
      <c r="AMH4" s="22"/>
      <c r="AMI4" s="22"/>
      <c r="AMJ4" s="22"/>
      <c r="AMK4" s="22"/>
      <c r="AML4" s="22"/>
      <c r="AMM4" s="22"/>
      <c r="AMN4" s="22"/>
    </row>
    <row r="5" spans="1:1028" ht="30" customHeight="1" x14ac:dyDescent="0.25">
      <c r="A5" s="23" t="s">
        <v>34</v>
      </c>
      <c r="B5" s="24" t="s">
        <v>38</v>
      </c>
      <c r="C5" s="25" t="s">
        <v>42</v>
      </c>
      <c r="D5" s="26">
        <v>1</v>
      </c>
      <c r="E5" s="26">
        <f t="shared" si="7"/>
        <v>1140</v>
      </c>
      <c r="F5" s="26"/>
      <c r="G5" s="26">
        <v>900</v>
      </c>
      <c r="H5" s="26">
        <v>240</v>
      </c>
      <c r="I5" s="26">
        <f t="shared" si="8"/>
        <v>1140</v>
      </c>
      <c r="J5" s="26"/>
      <c r="K5" s="26"/>
      <c r="L5" s="26">
        <v>12</v>
      </c>
      <c r="M5" s="26">
        <f t="shared" si="0"/>
        <v>95</v>
      </c>
      <c r="N5" s="72">
        <v>7.7</v>
      </c>
      <c r="O5" s="72">
        <f t="shared" ref="O5" si="19">N5+17/R5</f>
        <v>7.8954022988505752</v>
      </c>
      <c r="P5" s="27">
        <f t="shared" si="9"/>
        <v>8778</v>
      </c>
      <c r="Q5" s="28">
        <f>D5*E5*0.97</f>
        <v>1105.8</v>
      </c>
      <c r="R5" s="24">
        <v>87</v>
      </c>
      <c r="S5" s="29">
        <f t="shared" si="10"/>
        <v>669.9</v>
      </c>
      <c r="T5" s="29">
        <f t="shared" si="1"/>
        <v>763686</v>
      </c>
      <c r="U5" s="29">
        <f t="shared" si="2"/>
        <v>229105.8</v>
      </c>
      <c r="V5" s="29">
        <f t="shared" si="3"/>
        <v>101247.95044634725</v>
      </c>
      <c r="W5" s="29">
        <f t="shared" si="4"/>
        <v>2076.881034796867</v>
      </c>
      <c r="X5" s="29">
        <f t="shared" ref="X5" si="20">T5+U5+V5+W5</f>
        <v>1096116.6314811441</v>
      </c>
      <c r="Y5" s="30">
        <f t="shared" ref="Y5" si="21">IFERROR(SUM(X5/E5),"")</f>
        <v>961.50581708872289</v>
      </c>
      <c r="Z5" s="66">
        <f t="shared" si="6"/>
        <v>985.07299827029726</v>
      </c>
      <c r="AA5" s="31">
        <v>1000</v>
      </c>
      <c r="AB5" s="32">
        <f t="shared" si="18"/>
        <v>4.0035309435600699E-2</v>
      </c>
      <c r="AC5" s="67">
        <f t="shared" si="13"/>
        <v>1.5153193474913288E-2</v>
      </c>
      <c r="AD5" s="33">
        <f t="shared" si="14"/>
        <v>1140000</v>
      </c>
      <c r="AE5" s="33">
        <f t="shared" si="15"/>
        <v>1096116.6314811441</v>
      </c>
      <c r="AF5" s="65">
        <f t="shared" si="16"/>
        <v>1122983.2180281389</v>
      </c>
      <c r="AG5" s="21"/>
      <c r="AH5" s="21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  <c r="OH5" s="22"/>
      <c r="OI5" s="22"/>
      <c r="OJ5" s="22"/>
      <c r="OK5" s="22"/>
      <c r="OL5" s="22"/>
      <c r="OM5" s="22"/>
      <c r="ON5" s="22"/>
      <c r="OO5" s="22"/>
      <c r="OP5" s="22"/>
      <c r="OQ5" s="22"/>
      <c r="OR5" s="22"/>
      <c r="OS5" s="22"/>
      <c r="OT5" s="22"/>
      <c r="OU5" s="22"/>
      <c r="OV5" s="22"/>
      <c r="OW5" s="22"/>
      <c r="OX5" s="22"/>
      <c r="OY5" s="22"/>
      <c r="OZ5" s="22"/>
      <c r="PA5" s="22"/>
      <c r="PB5" s="22"/>
      <c r="PC5" s="22"/>
      <c r="PD5" s="22"/>
      <c r="PE5" s="22"/>
      <c r="PF5" s="22"/>
      <c r="PG5" s="22"/>
      <c r="PH5" s="22"/>
      <c r="PI5" s="22"/>
      <c r="PJ5" s="22"/>
      <c r="PK5" s="22"/>
      <c r="PL5" s="22"/>
      <c r="PM5" s="22"/>
      <c r="PN5" s="22"/>
      <c r="PO5" s="22"/>
      <c r="PP5" s="22"/>
      <c r="PQ5" s="22"/>
      <c r="PR5" s="22"/>
      <c r="PS5" s="22"/>
      <c r="PT5" s="22"/>
      <c r="PU5" s="22"/>
      <c r="PV5" s="22"/>
      <c r="PW5" s="22"/>
      <c r="PX5" s="22"/>
      <c r="PY5" s="22"/>
      <c r="PZ5" s="22"/>
      <c r="QA5" s="22"/>
      <c r="QB5" s="22"/>
      <c r="QC5" s="22"/>
      <c r="QD5" s="22"/>
      <c r="QE5" s="22"/>
      <c r="QF5" s="22"/>
      <c r="QG5" s="22"/>
      <c r="QH5" s="22"/>
      <c r="QI5" s="22"/>
      <c r="QJ5" s="22"/>
      <c r="QK5" s="22"/>
      <c r="QL5" s="22"/>
      <c r="QM5" s="22"/>
      <c r="QN5" s="22"/>
      <c r="QO5" s="22"/>
      <c r="QP5" s="22"/>
      <c r="QQ5" s="22"/>
      <c r="QR5" s="22"/>
      <c r="QS5" s="22"/>
      <c r="QT5" s="22"/>
      <c r="QU5" s="22"/>
      <c r="QV5" s="22"/>
      <c r="QW5" s="22"/>
      <c r="QX5" s="22"/>
      <c r="QY5" s="22"/>
      <c r="QZ5" s="22"/>
      <c r="RA5" s="22"/>
      <c r="RB5" s="22"/>
      <c r="RC5" s="22"/>
      <c r="RD5" s="22"/>
      <c r="RE5" s="22"/>
      <c r="RF5" s="22"/>
      <c r="RG5" s="22"/>
      <c r="RH5" s="22"/>
      <c r="RI5" s="22"/>
      <c r="RJ5" s="22"/>
      <c r="RK5" s="22"/>
      <c r="RL5" s="22"/>
      <c r="RM5" s="22"/>
      <c r="RN5" s="22"/>
      <c r="RO5" s="22"/>
      <c r="RP5" s="22"/>
      <c r="RQ5" s="22"/>
      <c r="RR5" s="22"/>
      <c r="RS5" s="22"/>
      <c r="RT5" s="22"/>
      <c r="RU5" s="22"/>
      <c r="RV5" s="22"/>
      <c r="RW5" s="22"/>
      <c r="RX5" s="22"/>
      <c r="RY5" s="22"/>
      <c r="RZ5" s="22"/>
      <c r="SA5" s="22"/>
      <c r="SB5" s="22"/>
      <c r="SC5" s="22"/>
      <c r="SD5" s="22"/>
      <c r="SE5" s="22"/>
      <c r="SF5" s="22"/>
      <c r="SG5" s="22"/>
      <c r="SH5" s="22"/>
      <c r="SI5" s="22"/>
      <c r="SJ5" s="22"/>
      <c r="SK5" s="22"/>
      <c r="SL5" s="22"/>
      <c r="SM5" s="22"/>
      <c r="SN5" s="22"/>
      <c r="SO5" s="22"/>
      <c r="SP5" s="22"/>
      <c r="SQ5" s="22"/>
      <c r="SR5" s="22"/>
      <c r="SS5" s="22"/>
      <c r="ST5" s="22"/>
      <c r="SU5" s="22"/>
      <c r="SV5" s="22"/>
      <c r="SW5" s="22"/>
      <c r="SX5" s="22"/>
      <c r="SY5" s="22"/>
      <c r="SZ5" s="22"/>
      <c r="TA5" s="22"/>
      <c r="TB5" s="22"/>
      <c r="TC5" s="22"/>
      <c r="TD5" s="22"/>
      <c r="TE5" s="22"/>
      <c r="TF5" s="22"/>
      <c r="TG5" s="22"/>
      <c r="TH5" s="22"/>
      <c r="TI5" s="22"/>
      <c r="TJ5" s="22"/>
      <c r="TK5" s="22"/>
      <c r="TL5" s="22"/>
      <c r="TM5" s="22"/>
      <c r="TN5" s="22"/>
      <c r="TO5" s="22"/>
      <c r="TP5" s="22"/>
      <c r="TQ5" s="22"/>
      <c r="TR5" s="22"/>
      <c r="TS5" s="22"/>
      <c r="TT5" s="22"/>
      <c r="TU5" s="22"/>
      <c r="TV5" s="22"/>
      <c r="TW5" s="22"/>
      <c r="TX5" s="22"/>
      <c r="TY5" s="22"/>
      <c r="TZ5" s="22"/>
      <c r="UA5" s="22"/>
      <c r="UB5" s="22"/>
      <c r="UC5" s="22"/>
      <c r="UD5" s="22"/>
      <c r="UE5" s="22"/>
      <c r="UF5" s="22"/>
      <c r="UG5" s="22"/>
      <c r="UH5" s="22"/>
      <c r="UI5" s="22"/>
      <c r="UJ5" s="22"/>
      <c r="UK5" s="22"/>
      <c r="UL5" s="22"/>
      <c r="UM5" s="22"/>
      <c r="UN5" s="22"/>
      <c r="UO5" s="22"/>
      <c r="UP5" s="22"/>
      <c r="UQ5" s="22"/>
      <c r="UR5" s="22"/>
      <c r="US5" s="22"/>
      <c r="UT5" s="22"/>
      <c r="UU5" s="22"/>
      <c r="UV5" s="22"/>
      <c r="UW5" s="22"/>
      <c r="UX5" s="22"/>
      <c r="UY5" s="22"/>
      <c r="UZ5" s="22"/>
      <c r="VA5" s="22"/>
      <c r="VB5" s="22"/>
      <c r="VC5" s="22"/>
      <c r="VD5" s="22"/>
      <c r="VE5" s="22"/>
      <c r="VF5" s="22"/>
      <c r="VG5" s="22"/>
      <c r="VH5" s="22"/>
      <c r="VI5" s="22"/>
      <c r="VJ5" s="22"/>
      <c r="VK5" s="22"/>
      <c r="VL5" s="22"/>
      <c r="VM5" s="22"/>
      <c r="VN5" s="22"/>
      <c r="VO5" s="22"/>
      <c r="VP5" s="22"/>
      <c r="VQ5" s="22"/>
      <c r="VR5" s="22"/>
      <c r="VS5" s="22"/>
      <c r="VT5" s="22"/>
      <c r="VU5" s="22"/>
      <c r="VV5" s="22"/>
      <c r="VW5" s="22"/>
      <c r="VX5" s="22"/>
      <c r="VY5" s="22"/>
      <c r="VZ5" s="22"/>
      <c r="WA5" s="22"/>
      <c r="WB5" s="22"/>
      <c r="WC5" s="22"/>
      <c r="WD5" s="22"/>
      <c r="WE5" s="22"/>
      <c r="WF5" s="22"/>
      <c r="WG5" s="22"/>
      <c r="WH5" s="22"/>
      <c r="WI5" s="22"/>
      <c r="WJ5" s="22"/>
      <c r="WK5" s="22"/>
      <c r="WL5" s="22"/>
      <c r="WM5" s="22"/>
      <c r="WN5" s="22"/>
      <c r="WO5" s="22"/>
      <c r="WP5" s="22"/>
      <c r="WQ5" s="22"/>
      <c r="WR5" s="22"/>
      <c r="WS5" s="22"/>
      <c r="WT5" s="22"/>
      <c r="WU5" s="22"/>
      <c r="WV5" s="22"/>
      <c r="WW5" s="22"/>
      <c r="WX5" s="22"/>
      <c r="WY5" s="22"/>
      <c r="WZ5" s="22"/>
      <c r="XA5" s="22"/>
      <c r="XB5" s="22"/>
      <c r="XC5" s="22"/>
      <c r="XD5" s="22"/>
      <c r="XE5" s="22"/>
      <c r="XF5" s="22"/>
      <c r="XG5" s="22"/>
      <c r="XH5" s="22"/>
      <c r="XI5" s="22"/>
      <c r="XJ5" s="22"/>
      <c r="XK5" s="22"/>
      <c r="XL5" s="22"/>
      <c r="XM5" s="22"/>
      <c r="XN5" s="22"/>
      <c r="XO5" s="22"/>
      <c r="XP5" s="22"/>
      <c r="XQ5" s="22"/>
      <c r="XR5" s="22"/>
      <c r="XS5" s="22"/>
      <c r="XT5" s="22"/>
      <c r="XU5" s="22"/>
      <c r="XV5" s="22"/>
      <c r="XW5" s="22"/>
      <c r="XX5" s="22"/>
      <c r="XY5" s="22"/>
      <c r="XZ5" s="22"/>
      <c r="YA5" s="22"/>
      <c r="YB5" s="22"/>
      <c r="YC5" s="22"/>
      <c r="YD5" s="22"/>
      <c r="YE5" s="22"/>
      <c r="YF5" s="22"/>
      <c r="YG5" s="22"/>
      <c r="YH5" s="22"/>
      <c r="YI5" s="22"/>
      <c r="YJ5" s="22"/>
      <c r="YK5" s="22"/>
      <c r="YL5" s="22"/>
      <c r="YM5" s="22"/>
      <c r="YN5" s="22"/>
      <c r="YO5" s="22"/>
      <c r="YP5" s="22"/>
      <c r="YQ5" s="22"/>
      <c r="YR5" s="22"/>
      <c r="YS5" s="22"/>
      <c r="YT5" s="22"/>
      <c r="YU5" s="22"/>
      <c r="YV5" s="22"/>
      <c r="YW5" s="22"/>
      <c r="YX5" s="22"/>
      <c r="YY5" s="22"/>
      <c r="YZ5" s="22"/>
      <c r="ZA5" s="22"/>
      <c r="ZB5" s="22"/>
      <c r="ZC5" s="22"/>
      <c r="ZD5" s="22"/>
      <c r="ZE5" s="22"/>
      <c r="ZF5" s="22"/>
      <c r="ZG5" s="22"/>
      <c r="ZH5" s="22"/>
      <c r="ZI5" s="22"/>
      <c r="ZJ5" s="22"/>
      <c r="ZK5" s="22"/>
      <c r="ZL5" s="22"/>
      <c r="ZM5" s="22"/>
      <c r="ZN5" s="22"/>
      <c r="ZO5" s="22"/>
      <c r="ZP5" s="22"/>
      <c r="ZQ5" s="22"/>
      <c r="ZR5" s="22"/>
      <c r="ZS5" s="22"/>
      <c r="ZT5" s="22"/>
      <c r="ZU5" s="22"/>
      <c r="ZV5" s="22"/>
      <c r="ZW5" s="22"/>
      <c r="ZX5" s="22"/>
      <c r="ZY5" s="22"/>
      <c r="ZZ5" s="22"/>
      <c r="AAA5" s="22"/>
      <c r="AAB5" s="22"/>
      <c r="AAC5" s="22"/>
      <c r="AAD5" s="22"/>
      <c r="AAE5" s="22"/>
      <c r="AAF5" s="22"/>
      <c r="AAG5" s="22"/>
      <c r="AAH5" s="22"/>
      <c r="AAI5" s="22"/>
      <c r="AAJ5" s="22"/>
      <c r="AAK5" s="22"/>
      <c r="AAL5" s="22"/>
      <c r="AAM5" s="22"/>
      <c r="AAN5" s="22"/>
      <c r="AAO5" s="22"/>
      <c r="AAP5" s="22"/>
      <c r="AAQ5" s="22"/>
      <c r="AAR5" s="22"/>
      <c r="AAS5" s="22"/>
      <c r="AAT5" s="22"/>
      <c r="AAU5" s="22"/>
      <c r="AAV5" s="22"/>
      <c r="AAW5" s="22"/>
      <c r="AAX5" s="22"/>
      <c r="AAY5" s="22"/>
      <c r="AAZ5" s="22"/>
      <c r="ABA5" s="22"/>
      <c r="ABB5" s="22"/>
      <c r="ABC5" s="22"/>
      <c r="ABD5" s="22"/>
      <c r="ABE5" s="22"/>
      <c r="ABF5" s="22"/>
      <c r="ABG5" s="22"/>
      <c r="ABH5" s="22"/>
      <c r="ABI5" s="22"/>
      <c r="ABJ5" s="22"/>
      <c r="ABK5" s="22"/>
      <c r="ABL5" s="22"/>
      <c r="ABM5" s="22"/>
      <c r="ABN5" s="22"/>
      <c r="ABO5" s="22"/>
      <c r="ABP5" s="22"/>
      <c r="ABQ5" s="22"/>
      <c r="ABR5" s="22"/>
      <c r="ABS5" s="22"/>
      <c r="ABT5" s="22"/>
      <c r="ABU5" s="22"/>
      <c r="ABV5" s="22"/>
      <c r="ABW5" s="22"/>
      <c r="ABX5" s="22"/>
      <c r="ABY5" s="22"/>
      <c r="ABZ5" s="22"/>
      <c r="ACA5" s="22"/>
      <c r="ACB5" s="22"/>
      <c r="ACC5" s="22"/>
      <c r="ACD5" s="22"/>
      <c r="ACE5" s="22"/>
      <c r="ACF5" s="22"/>
      <c r="ACG5" s="22"/>
      <c r="ACH5" s="22"/>
      <c r="ACI5" s="22"/>
      <c r="ACJ5" s="22"/>
      <c r="ACK5" s="22"/>
      <c r="ACL5" s="22"/>
      <c r="ACM5" s="22"/>
      <c r="ACN5" s="22"/>
      <c r="ACO5" s="22"/>
      <c r="ACP5" s="22"/>
      <c r="ACQ5" s="22"/>
      <c r="ACR5" s="22"/>
      <c r="ACS5" s="22"/>
      <c r="ACT5" s="22"/>
      <c r="ACU5" s="22"/>
      <c r="ACV5" s="22"/>
      <c r="ACW5" s="22"/>
      <c r="ACX5" s="22"/>
      <c r="ACY5" s="22"/>
      <c r="ACZ5" s="22"/>
      <c r="ADA5" s="22"/>
      <c r="ADB5" s="22"/>
      <c r="ADC5" s="22"/>
      <c r="ADD5" s="22"/>
      <c r="ADE5" s="22"/>
      <c r="ADF5" s="22"/>
      <c r="ADG5" s="22"/>
      <c r="ADH5" s="22"/>
      <c r="ADI5" s="22"/>
      <c r="ADJ5" s="22"/>
      <c r="ADK5" s="22"/>
      <c r="ADL5" s="22"/>
      <c r="ADM5" s="22"/>
      <c r="ADN5" s="22"/>
      <c r="ADO5" s="22"/>
      <c r="ADP5" s="22"/>
      <c r="ADQ5" s="22"/>
      <c r="ADR5" s="22"/>
      <c r="ADS5" s="22"/>
      <c r="ADT5" s="22"/>
      <c r="ADU5" s="22"/>
      <c r="ADV5" s="22"/>
      <c r="ADW5" s="22"/>
      <c r="ADX5" s="22"/>
      <c r="ADY5" s="22"/>
      <c r="ADZ5" s="22"/>
      <c r="AEA5" s="22"/>
      <c r="AEB5" s="22"/>
      <c r="AEC5" s="22"/>
      <c r="AED5" s="22"/>
      <c r="AEE5" s="22"/>
      <c r="AEF5" s="22"/>
      <c r="AEG5" s="22"/>
      <c r="AEH5" s="22"/>
      <c r="AEI5" s="22"/>
      <c r="AEJ5" s="22"/>
      <c r="AEK5" s="22"/>
      <c r="AEL5" s="22"/>
      <c r="AEM5" s="22"/>
      <c r="AEN5" s="22"/>
      <c r="AEO5" s="22"/>
      <c r="AEP5" s="22"/>
      <c r="AEQ5" s="22"/>
      <c r="AER5" s="22"/>
      <c r="AES5" s="22"/>
      <c r="AET5" s="22"/>
      <c r="AEU5" s="22"/>
      <c r="AEV5" s="22"/>
      <c r="AEW5" s="22"/>
      <c r="AEX5" s="22"/>
      <c r="AEY5" s="22"/>
      <c r="AEZ5" s="22"/>
      <c r="AFA5" s="22"/>
      <c r="AFB5" s="22"/>
      <c r="AFC5" s="22"/>
      <c r="AFD5" s="22"/>
      <c r="AFE5" s="22"/>
      <c r="AFF5" s="22"/>
      <c r="AFG5" s="22"/>
      <c r="AFH5" s="22"/>
      <c r="AFI5" s="22"/>
      <c r="AFJ5" s="22"/>
      <c r="AFK5" s="22"/>
      <c r="AFL5" s="22"/>
      <c r="AFM5" s="22"/>
      <c r="AFN5" s="22"/>
      <c r="AFO5" s="22"/>
      <c r="AFP5" s="22"/>
      <c r="AFQ5" s="22"/>
      <c r="AFR5" s="22"/>
      <c r="AFS5" s="22"/>
      <c r="AFT5" s="22"/>
      <c r="AFU5" s="22"/>
      <c r="AFV5" s="22"/>
      <c r="AFW5" s="22"/>
      <c r="AFX5" s="22"/>
      <c r="AFY5" s="22"/>
      <c r="AFZ5" s="22"/>
      <c r="AGA5" s="22"/>
      <c r="AGB5" s="22"/>
      <c r="AGC5" s="22"/>
      <c r="AGD5" s="22"/>
      <c r="AGE5" s="22"/>
      <c r="AGF5" s="22"/>
      <c r="AGG5" s="22"/>
      <c r="AGH5" s="22"/>
      <c r="AGI5" s="22"/>
      <c r="AGJ5" s="22"/>
      <c r="AGK5" s="22"/>
      <c r="AGL5" s="22"/>
      <c r="AGM5" s="22"/>
      <c r="AGN5" s="22"/>
      <c r="AGO5" s="22"/>
      <c r="AGP5" s="22"/>
      <c r="AGQ5" s="22"/>
      <c r="AGR5" s="22"/>
      <c r="AGS5" s="22"/>
      <c r="AGT5" s="22"/>
      <c r="AGU5" s="22"/>
      <c r="AGV5" s="22"/>
      <c r="AGW5" s="22"/>
      <c r="AGX5" s="22"/>
      <c r="AGY5" s="22"/>
      <c r="AGZ5" s="22"/>
      <c r="AHA5" s="22"/>
      <c r="AHB5" s="22"/>
      <c r="AHC5" s="22"/>
      <c r="AHD5" s="22"/>
      <c r="AHE5" s="22"/>
      <c r="AHF5" s="22"/>
      <c r="AHG5" s="22"/>
      <c r="AHH5" s="22"/>
      <c r="AHI5" s="22"/>
      <c r="AHJ5" s="22"/>
      <c r="AHK5" s="22"/>
      <c r="AHL5" s="22"/>
      <c r="AHM5" s="22"/>
      <c r="AHN5" s="22"/>
      <c r="AHO5" s="22"/>
      <c r="AHP5" s="22"/>
      <c r="AHQ5" s="22"/>
      <c r="AHR5" s="22"/>
      <c r="AHS5" s="22"/>
      <c r="AHT5" s="22"/>
      <c r="AHU5" s="22"/>
      <c r="AHV5" s="22"/>
      <c r="AHW5" s="22"/>
      <c r="AHX5" s="22"/>
      <c r="AHY5" s="22"/>
      <c r="AHZ5" s="22"/>
      <c r="AIA5" s="22"/>
      <c r="AIB5" s="22"/>
      <c r="AIC5" s="22"/>
      <c r="AID5" s="22"/>
      <c r="AIE5" s="22"/>
      <c r="AIF5" s="22"/>
      <c r="AIG5" s="22"/>
      <c r="AIH5" s="22"/>
      <c r="AII5" s="22"/>
      <c r="AIJ5" s="22"/>
      <c r="AIK5" s="22"/>
      <c r="AIL5" s="22"/>
      <c r="AIM5" s="22"/>
      <c r="AIN5" s="22"/>
      <c r="AIO5" s="22"/>
      <c r="AIP5" s="22"/>
      <c r="AIQ5" s="22"/>
      <c r="AIR5" s="22"/>
      <c r="AIS5" s="22"/>
      <c r="AIT5" s="22"/>
      <c r="AIU5" s="22"/>
      <c r="AIV5" s="22"/>
      <c r="AIW5" s="22"/>
      <c r="AIX5" s="22"/>
      <c r="AIY5" s="22"/>
      <c r="AIZ5" s="22"/>
      <c r="AJA5" s="22"/>
      <c r="AJB5" s="22"/>
      <c r="AJC5" s="22"/>
      <c r="AJD5" s="22"/>
      <c r="AJE5" s="22"/>
      <c r="AJF5" s="22"/>
      <c r="AJG5" s="22"/>
      <c r="AJH5" s="22"/>
      <c r="AJI5" s="22"/>
      <c r="AJJ5" s="22"/>
      <c r="AJK5" s="22"/>
      <c r="AJL5" s="22"/>
      <c r="AJM5" s="22"/>
      <c r="AJN5" s="22"/>
      <c r="AJO5" s="22"/>
      <c r="AJP5" s="22"/>
      <c r="AJQ5" s="22"/>
      <c r="AJR5" s="22"/>
      <c r="AJS5" s="22"/>
      <c r="AJT5" s="22"/>
      <c r="AJU5" s="22"/>
      <c r="AJV5" s="22"/>
      <c r="AJW5" s="22"/>
      <c r="AJX5" s="22"/>
      <c r="AJY5" s="22"/>
      <c r="AJZ5" s="22"/>
      <c r="AKA5" s="22"/>
      <c r="AKB5" s="22"/>
      <c r="AKC5" s="22"/>
      <c r="AKD5" s="22"/>
      <c r="AKE5" s="22"/>
      <c r="AKF5" s="22"/>
      <c r="AKG5" s="22"/>
      <c r="AKH5" s="22"/>
      <c r="AKI5" s="22"/>
      <c r="AKJ5" s="22"/>
      <c r="AKK5" s="22"/>
      <c r="AKL5" s="22"/>
      <c r="AKM5" s="22"/>
      <c r="AKN5" s="22"/>
      <c r="AKO5" s="22"/>
      <c r="AKP5" s="22"/>
      <c r="AKQ5" s="22"/>
      <c r="AKR5" s="22"/>
      <c r="AKS5" s="22"/>
      <c r="AKT5" s="22"/>
      <c r="AKU5" s="22"/>
      <c r="AKV5" s="22"/>
      <c r="AKW5" s="22"/>
      <c r="AKX5" s="22"/>
      <c r="AKY5" s="22"/>
      <c r="AKZ5" s="22"/>
      <c r="ALA5" s="22"/>
      <c r="ALB5" s="22"/>
      <c r="ALC5" s="22"/>
      <c r="ALD5" s="22"/>
      <c r="ALE5" s="22"/>
      <c r="ALF5" s="22"/>
      <c r="ALG5" s="22"/>
      <c r="ALH5" s="22"/>
      <c r="ALI5" s="22"/>
      <c r="ALJ5" s="22"/>
      <c r="ALK5" s="22"/>
      <c r="ALL5" s="22"/>
      <c r="ALM5" s="22"/>
      <c r="ALN5" s="22"/>
      <c r="ALO5" s="22"/>
      <c r="ALP5" s="22"/>
      <c r="ALQ5" s="22"/>
      <c r="ALR5" s="22"/>
      <c r="ALS5" s="22"/>
      <c r="ALT5" s="22"/>
      <c r="ALU5" s="22"/>
      <c r="ALV5" s="22"/>
      <c r="ALW5" s="22"/>
      <c r="ALX5" s="22"/>
      <c r="ALY5" s="22"/>
      <c r="ALZ5" s="22"/>
      <c r="AMA5" s="22"/>
      <c r="AMB5" s="22"/>
      <c r="AMC5" s="22"/>
      <c r="AMD5" s="22"/>
      <c r="AME5" s="22"/>
      <c r="AMF5" s="22"/>
      <c r="AMG5" s="22"/>
      <c r="AMH5" s="22"/>
      <c r="AMI5" s="22"/>
      <c r="AMJ5" s="22"/>
      <c r="AMK5" s="22"/>
      <c r="AML5" s="22"/>
      <c r="AMM5" s="22"/>
      <c r="AMN5" s="22"/>
    </row>
    <row r="6" spans="1:1028" ht="15.75" x14ac:dyDescent="0.25">
      <c r="A6" s="23" t="s">
        <v>35</v>
      </c>
      <c r="B6" s="24" t="s">
        <v>38</v>
      </c>
      <c r="C6" s="25" t="s">
        <v>43</v>
      </c>
      <c r="D6" s="26">
        <v>1</v>
      </c>
      <c r="E6" s="26">
        <f t="shared" si="7"/>
        <v>1140</v>
      </c>
      <c r="F6" s="26"/>
      <c r="G6" s="26">
        <v>900</v>
      </c>
      <c r="H6" s="26">
        <v>240</v>
      </c>
      <c r="I6" s="26">
        <f t="shared" si="8"/>
        <v>1140</v>
      </c>
      <c r="J6" s="26"/>
      <c r="K6" s="26"/>
      <c r="L6" s="26">
        <v>12</v>
      </c>
      <c r="M6" s="26">
        <f t="shared" si="0"/>
        <v>95</v>
      </c>
      <c r="N6" s="72">
        <v>7.42</v>
      </c>
      <c r="O6" s="72">
        <f t="shared" si="17"/>
        <v>7.615402298850575</v>
      </c>
      <c r="P6" s="27">
        <f t="shared" si="9"/>
        <v>8458.7999999999993</v>
      </c>
      <c r="Q6" s="28">
        <f t="shared" ref="Q6:Q7" si="22">D6*E6*0.97</f>
        <v>1105.8</v>
      </c>
      <c r="R6" s="24">
        <v>87</v>
      </c>
      <c r="S6" s="29">
        <f t="shared" si="10"/>
        <v>645.54</v>
      </c>
      <c r="T6" s="29">
        <f t="shared" si="1"/>
        <v>735915.6</v>
      </c>
      <c r="U6" s="29">
        <f t="shared" si="2"/>
        <v>220774.67999999996</v>
      </c>
      <c r="V6" s="29">
        <f t="shared" si="3"/>
        <v>101247.95044634725</v>
      </c>
      <c r="W6" s="29">
        <f t="shared" si="4"/>
        <v>2076.881034796867</v>
      </c>
      <c r="X6" s="29">
        <f t="shared" si="5"/>
        <v>1060015.1114811441</v>
      </c>
      <c r="Y6" s="30">
        <f>IFERROR(SUM(X6/E6),"")</f>
        <v>929.83781708872289</v>
      </c>
      <c r="Z6" s="66">
        <f t="shared" si="6"/>
        <v>949.25216196955921</v>
      </c>
      <c r="AA6" s="31">
        <v>950</v>
      </c>
      <c r="AB6" s="32">
        <f t="shared" si="18"/>
        <v>2.1683547970122286E-2</v>
      </c>
      <c r="AC6" s="67">
        <f t="shared" si="13"/>
        <v>7.8781809555127568E-4</v>
      </c>
      <c r="AD6" s="33">
        <f t="shared" si="14"/>
        <v>1083000</v>
      </c>
      <c r="AE6" s="33">
        <f t="shared" si="15"/>
        <v>1060015.1114811441</v>
      </c>
      <c r="AF6" s="65">
        <f t="shared" si="16"/>
        <v>1082147.4646452975</v>
      </c>
      <c r="AG6" s="21"/>
      <c r="AH6" s="21"/>
    </row>
    <row r="7" spans="1:1028" ht="30.75" customHeight="1" x14ac:dyDescent="0.25">
      <c r="A7" s="23" t="s">
        <v>36</v>
      </c>
      <c r="B7" s="59" t="s">
        <v>38</v>
      </c>
      <c r="C7" s="25" t="s">
        <v>44</v>
      </c>
      <c r="D7" s="26">
        <v>5</v>
      </c>
      <c r="E7" s="26">
        <f t="shared" si="7"/>
        <v>1716</v>
      </c>
      <c r="F7" s="26"/>
      <c r="G7" s="26">
        <v>1560</v>
      </c>
      <c r="H7" s="26">
        <v>156</v>
      </c>
      <c r="I7" s="26">
        <f t="shared" si="8"/>
        <v>8580</v>
      </c>
      <c r="J7" s="26"/>
      <c r="K7" s="26"/>
      <c r="L7" s="26">
        <v>3</v>
      </c>
      <c r="M7" s="26">
        <f t="shared" si="0"/>
        <v>572</v>
      </c>
      <c r="N7" s="72">
        <v>32.58</v>
      </c>
      <c r="O7" s="72">
        <f t="shared" si="17"/>
        <v>32.775402298850572</v>
      </c>
      <c r="P7" s="27">
        <f t="shared" si="9"/>
        <v>55907.28</v>
      </c>
      <c r="Q7" s="28">
        <f t="shared" si="22"/>
        <v>8322.6</v>
      </c>
      <c r="R7" s="24">
        <v>87</v>
      </c>
      <c r="S7" s="29">
        <f>N7*R7</f>
        <v>2834.46</v>
      </c>
      <c r="T7" s="29">
        <f t="shared" si="1"/>
        <v>4863933.3600000003</v>
      </c>
      <c r="U7" s="29">
        <f t="shared" si="2"/>
        <v>1459180.0079999999</v>
      </c>
      <c r="V7" s="29">
        <f t="shared" si="3"/>
        <v>762024.04809619254</v>
      </c>
      <c r="W7" s="29">
        <f t="shared" si="4"/>
        <v>15631.262525050104</v>
      </c>
      <c r="X7" s="29">
        <f t="shared" si="5"/>
        <v>7100768.6786212437</v>
      </c>
      <c r="Y7" s="30">
        <f>IFERROR(SUM(X7/E7),"")</f>
        <v>4137.9770854436156</v>
      </c>
      <c r="Z7" s="66">
        <f t="shared" si="6"/>
        <v>4168.0101667073104</v>
      </c>
      <c r="AA7" s="31">
        <v>4250</v>
      </c>
      <c r="AB7" s="32">
        <f t="shared" si="18"/>
        <v>2.7071903068398673E-2</v>
      </c>
      <c r="AC7" s="67">
        <f>(AA7-Z7)/Z7</f>
        <v>1.9671217202778753E-2</v>
      </c>
      <c r="AD7" s="33">
        <f t="shared" si="14"/>
        <v>7293000</v>
      </c>
      <c r="AE7" s="33">
        <f t="shared" si="15"/>
        <v>7100768.6786212446</v>
      </c>
      <c r="AF7" s="65">
        <f t="shared" si="16"/>
        <v>7152305.4460697444</v>
      </c>
      <c r="AG7" s="21"/>
      <c r="AH7" s="21"/>
    </row>
    <row r="8" spans="1:1028" ht="15.75" x14ac:dyDescent="0.25">
      <c r="A8" s="69" t="s">
        <v>37</v>
      </c>
      <c r="B8" s="70" t="s">
        <v>38</v>
      </c>
      <c r="C8" s="71" t="s">
        <v>45</v>
      </c>
      <c r="D8" s="26">
        <v>209</v>
      </c>
      <c r="E8" s="26">
        <f t="shared" si="7"/>
        <v>4</v>
      </c>
      <c r="F8" s="26"/>
      <c r="G8" s="26">
        <v>4</v>
      </c>
      <c r="H8" s="26"/>
      <c r="I8" s="26">
        <f t="shared" si="8"/>
        <v>836</v>
      </c>
      <c r="J8" s="26"/>
      <c r="K8" s="26"/>
      <c r="L8" s="26">
        <v>12</v>
      </c>
      <c r="M8" s="26">
        <f t="shared" si="0"/>
        <v>0.33333333333333331</v>
      </c>
      <c r="N8" s="72">
        <v>930.04</v>
      </c>
      <c r="O8" s="72">
        <f t="shared" ref="O8" si="23">N8+17/R8</f>
        <v>930.23540229885054</v>
      </c>
      <c r="P8" s="27">
        <f>N8*E8</f>
        <v>3720.16</v>
      </c>
      <c r="Q8" s="28">
        <f>D8*E8*0.97</f>
        <v>810.92</v>
      </c>
      <c r="R8" s="24">
        <v>87</v>
      </c>
      <c r="S8" s="29">
        <f t="shared" ref="S8" si="24">N8*R8</f>
        <v>80913.48</v>
      </c>
      <c r="T8" s="29">
        <f t="shared" ref="T8" si="25">$T$14/$P$12*P8</f>
        <v>323653.92</v>
      </c>
      <c r="U8" s="29">
        <f t="shared" ref="U8" si="26">$U$14/$P$12*P8</f>
        <v>97096.175999999992</v>
      </c>
      <c r="V8" s="29">
        <f t="shared" ref="V8" si="27">$V$14/$Q$12*Q8</f>
        <v>74248.496993987981</v>
      </c>
      <c r="W8" s="29">
        <f t="shared" ref="W8" si="28">$W$14/$Q$12*Q8</f>
        <v>1523.0460921843689</v>
      </c>
      <c r="X8" s="29">
        <f t="shared" ref="X8" si="29">T8+U8+V8+W8</f>
        <v>496521.63908617233</v>
      </c>
      <c r="Y8" s="30">
        <f>IFERROR(SUM(X8/E8),"")</f>
        <v>124130.40977154308</v>
      </c>
      <c r="Z8" s="66">
        <f t="shared" ref="Z8" si="30">S8*($X$14 / $T$12)</f>
        <v>118981.46640406588</v>
      </c>
      <c r="AA8" s="31">
        <v>120000</v>
      </c>
      <c r="AB8" s="32">
        <f t="shared" ref="AB8" si="31">IFERROR((AA8-Y8)/Y8,"")</f>
        <v>-3.3274761431505241E-2</v>
      </c>
      <c r="AC8" s="67">
        <f t="shared" ref="AC8" si="32">(AA8-Z8)/Z8</f>
        <v>8.5604390895228678E-3</v>
      </c>
      <c r="AD8" s="33">
        <f t="shared" ref="AD8" si="33">AA8*E8</f>
        <v>480000</v>
      </c>
      <c r="AE8" s="33">
        <f t="shared" ref="AE8" si="34">IFERROR(Y8*E8,"")</f>
        <v>496521.63908617233</v>
      </c>
      <c r="AF8" s="65">
        <f t="shared" ref="AF8" si="35">Z8*E8</f>
        <v>475925.86561626353</v>
      </c>
      <c r="AG8" s="21"/>
      <c r="AH8" s="21"/>
    </row>
    <row r="9" spans="1:1028" ht="15.75" x14ac:dyDescent="0.25">
      <c r="A9" s="47"/>
      <c r="B9" s="48"/>
      <c r="C9" s="49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1"/>
      <c r="P9" s="51"/>
      <c r="Q9" s="58"/>
      <c r="R9" s="48"/>
      <c r="S9" s="52"/>
      <c r="T9" s="52"/>
      <c r="U9" s="52"/>
      <c r="V9" s="52"/>
      <c r="W9" s="34"/>
      <c r="X9" s="52"/>
      <c r="Y9" s="53"/>
      <c r="Z9" s="53"/>
      <c r="AA9" s="58"/>
      <c r="AB9" s="54"/>
      <c r="AC9" s="54"/>
      <c r="AD9" s="62">
        <f>SUM(AD2:AD8)</f>
        <v>17455200</v>
      </c>
      <c r="AE9" s="62">
        <f>SUM(AE2:AE8)</f>
        <v>17165007.016000003</v>
      </c>
      <c r="AF9" s="65">
        <f>SUM(AF2:AF8)</f>
        <v>17165007.015999995</v>
      </c>
      <c r="AG9" s="21"/>
      <c r="AH9" s="21"/>
    </row>
    <row r="10" spans="1:1028" ht="15.75" x14ac:dyDescent="0.25">
      <c r="A10" s="47"/>
      <c r="B10" s="48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8"/>
      <c r="R10" s="48"/>
      <c r="S10" s="52"/>
      <c r="T10" s="52"/>
      <c r="U10" s="52"/>
      <c r="V10" s="52"/>
      <c r="W10" s="34"/>
      <c r="X10" s="52"/>
      <c r="Y10" s="53"/>
      <c r="Z10" s="53"/>
      <c r="AA10" s="58"/>
      <c r="AB10" s="54"/>
      <c r="AC10" s="54"/>
      <c r="AD10" s="55"/>
      <c r="AE10" s="55"/>
      <c r="AF10" s="21"/>
      <c r="AG10" s="21"/>
      <c r="AH10" s="21"/>
    </row>
    <row r="11" spans="1:1028" ht="15.75" x14ac:dyDescent="0.25">
      <c r="A11" s="47"/>
      <c r="B11" s="48"/>
      <c r="C11" s="49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1"/>
      <c r="P11" s="51"/>
      <c r="Q11" s="58"/>
      <c r="R11" s="48"/>
      <c r="S11" s="52"/>
      <c r="T11" s="52"/>
      <c r="U11" s="52"/>
      <c r="V11" s="52"/>
      <c r="W11" s="34"/>
      <c r="X11" s="52"/>
      <c r="Y11" s="53"/>
      <c r="Z11" s="53"/>
      <c r="AA11" s="58"/>
      <c r="AB11" s="54"/>
      <c r="AC11" s="54"/>
      <c r="AD11" s="55"/>
      <c r="AE11" s="55"/>
      <c r="AF11" s="21"/>
      <c r="AG11" s="21"/>
      <c r="AH11" s="21"/>
    </row>
    <row r="12" spans="1:1028" ht="15.75" x14ac:dyDescent="0.25">
      <c r="A12" s="35"/>
      <c r="B12" s="36"/>
      <c r="C12" s="36"/>
      <c r="D12" s="37"/>
      <c r="E12" s="38">
        <f>SUM(E2:E8)</f>
        <v>6772</v>
      </c>
      <c r="F12" s="38"/>
      <c r="G12" s="38"/>
      <c r="H12" s="38"/>
      <c r="I12" s="38"/>
      <c r="J12" s="38"/>
      <c r="K12" s="38"/>
      <c r="L12" s="39"/>
      <c r="M12" s="38">
        <f>SUM(M2:M8)</f>
        <v>1569.3333333333333</v>
      </c>
      <c r="N12" s="38"/>
      <c r="O12" s="39"/>
      <c r="P12" s="60">
        <f>SUMIF(P2:P8,"&lt;&gt;#ДЕЛ/0!")</f>
        <v>134173.35999999999</v>
      </c>
      <c r="Q12" s="61">
        <f>SUM(Q2:Q8)</f>
        <v>21297.319999999996</v>
      </c>
      <c r="S12" s="7"/>
      <c r="T12" s="40">
        <f>SUMIF(T2:T8,"&lt;&gt;#ДЕЛ/0!")</f>
        <v>11673082.32</v>
      </c>
      <c r="U12" s="40">
        <f>SUMIF(U2:U8,"&lt;&gt;#ДЕЛ/0!")</f>
        <v>3501924.6959999995</v>
      </c>
      <c r="V12" s="40">
        <f>SUMIF(V2:V8,"&lt;&gt;#ДЕЛ/0!")</f>
        <v>1950000.0000000005</v>
      </c>
      <c r="W12" s="40">
        <f>SUMIF(W2:W8,"&lt;&gt;#ДЕЛ/0!")</f>
        <v>40000.000000000007</v>
      </c>
      <c r="X12" s="40">
        <f>SUMIF(X2:X8,"&lt;&gt;#ДЕЛ/0!")</f>
        <v>17165007.016000003</v>
      </c>
      <c r="Y12" s="41"/>
      <c r="Z12" s="41"/>
      <c r="AA12" s="21"/>
      <c r="AE12" s="21"/>
      <c r="AF12" s="21"/>
      <c r="AG12" s="21"/>
      <c r="AH12" s="21"/>
      <c r="AMM12" s="5"/>
      <c r="AMN12" s="5"/>
    </row>
    <row r="13" spans="1:1028" ht="30" x14ac:dyDescent="0.25">
      <c r="A13"/>
      <c r="P13" s="56" t="s">
        <v>22</v>
      </c>
      <c r="Q13" s="57">
        <f>(Q12/700)*20+Q12</f>
        <v>21905.814857142854</v>
      </c>
      <c r="S13" s="7"/>
      <c r="T13" s="42" t="s">
        <v>23</v>
      </c>
      <c r="U13" s="42" t="s">
        <v>23</v>
      </c>
      <c r="V13" s="42" t="s">
        <v>23</v>
      </c>
      <c r="W13" s="42" t="s">
        <v>23</v>
      </c>
      <c r="X13" s="43"/>
      <c r="AD13" s="63" t="s">
        <v>24</v>
      </c>
      <c r="AE13" s="64">
        <f>(AD9-AE9)/AE9</f>
        <v>1.6906080127406884E-2</v>
      </c>
    </row>
    <row r="14" spans="1:1028" ht="15.75" x14ac:dyDescent="0.25">
      <c r="P14" s="6"/>
      <c r="Q14" s="6"/>
      <c r="T14" s="44">
        <f>P12*R2</f>
        <v>11673082.319999998</v>
      </c>
      <c r="U14" s="44">
        <f>T14*0.3</f>
        <v>3501924.6959999995</v>
      </c>
      <c r="V14" s="45">
        <v>1950000</v>
      </c>
      <c r="W14" s="45">
        <v>40000</v>
      </c>
      <c r="X14" s="44">
        <f>T14+U14+V14+W14</f>
        <v>17165007.015999999</v>
      </c>
    </row>
    <row r="15" spans="1:1028" x14ac:dyDescent="0.2">
      <c r="P15" s="6"/>
      <c r="Q15" s="6"/>
      <c r="R15" s="5"/>
      <c r="U15" s="5"/>
      <c r="V15" s="5"/>
      <c r="W15" s="5"/>
      <c r="X15" s="5"/>
    </row>
    <row r="16" spans="1:1028" x14ac:dyDescent="0.2">
      <c r="P16" s="6"/>
      <c r="Q16" s="6"/>
      <c r="R16" s="5"/>
      <c r="U16" s="5"/>
      <c r="V16" s="5"/>
      <c r="W16" s="5"/>
      <c r="X16" s="5"/>
      <c r="AF16" s="68"/>
    </row>
    <row r="17" spans="16:31" x14ac:dyDescent="0.2">
      <c r="P17" s="6"/>
      <c r="Q17" s="6"/>
      <c r="R17" s="5"/>
      <c r="U17" s="5"/>
      <c r="V17" s="5"/>
      <c r="W17" s="5"/>
      <c r="X17" s="5"/>
    </row>
    <row r="18" spans="16:31" ht="15.75" x14ac:dyDescent="0.2">
      <c r="P18" s="6"/>
      <c r="Q18" s="6"/>
      <c r="R18" s="5"/>
      <c r="U18" s="46"/>
      <c r="V18" s="5"/>
      <c r="W18" s="5"/>
      <c r="X18" s="5"/>
      <c r="AD18" s="62"/>
    </row>
    <row r="19" spans="16:31" x14ac:dyDescent="0.2">
      <c r="P19" s="6"/>
      <c r="Q19" s="6"/>
      <c r="R19" s="5"/>
      <c r="U19" s="5">
        <f>E12*21</f>
        <v>142212</v>
      </c>
      <c r="V19" s="5"/>
      <c r="W19" s="5"/>
      <c r="X19" s="5"/>
    </row>
    <row r="20" spans="16:31" x14ac:dyDescent="0.2">
      <c r="R20" s="5"/>
      <c r="U20" s="5"/>
      <c r="V20" s="5"/>
      <c r="W20" s="5"/>
      <c r="X20" s="5"/>
    </row>
    <row r="21" spans="16:31" x14ac:dyDescent="0.2">
      <c r="R21" s="5"/>
      <c r="U21" s="5"/>
      <c r="V21" s="5"/>
      <c r="W21" s="5"/>
      <c r="X21" s="5"/>
      <c r="AE21" s="5">
        <f>AD9-AE9</f>
        <v>290192.98399999738</v>
      </c>
    </row>
    <row r="22" spans="16:31" x14ac:dyDescent="0.2">
      <c r="R22" s="5"/>
      <c r="U22" s="5"/>
      <c r="V22" s="5"/>
      <c r="W22" s="5"/>
      <c r="X22" s="5"/>
    </row>
    <row r="23" spans="16:31" x14ac:dyDescent="0.2">
      <c r="R23" s="5"/>
      <c r="U23" s="5">
        <f>21000*75</f>
        <v>1575000</v>
      </c>
      <c r="V23" s="5"/>
      <c r="W23" s="5"/>
      <c r="X23" s="5"/>
    </row>
    <row r="24" spans="16:31" x14ac:dyDescent="0.2">
      <c r="R24" s="5"/>
      <c r="U24" s="5"/>
      <c r="V24" s="5"/>
      <c r="W24" s="5"/>
      <c r="X24" s="5"/>
    </row>
    <row r="25" spans="16:31" x14ac:dyDescent="0.2">
      <c r="R25" s="5"/>
      <c r="U25" s="5">
        <f>U23+U19+200000</f>
        <v>1917212</v>
      </c>
      <c r="V25" s="5"/>
      <c r="W25" s="5"/>
      <c r="X25" s="5"/>
    </row>
    <row r="26" spans="16:31" x14ac:dyDescent="0.2">
      <c r="R26" s="5"/>
      <c r="U26" s="5"/>
      <c r="V26" s="5"/>
      <c r="W26" s="5"/>
      <c r="X26" s="5"/>
    </row>
    <row r="27" spans="16:31" x14ac:dyDescent="0.2">
      <c r="R27" s="5"/>
      <c r="U27" s="5"/>
      <c r="V27" s="5"/>
      <c r="W27" s="5"/>
      <c r="X27" s="5"/>
    </row>
    <row r="28" spans="16:31" x14ac:dyDescent="0.2">
      <c r="R28" s="5"/>
      <c r="U28" s="5"/>
      <c r="V28" s="5"/>
      <c r="W28" s="5"/>
      <c r="X28" s="5"/>
    </row>
    <row r="29" spans="16:31" x14ac:dyDescent="0.2">
      <c r="P29" s="7">
        <v>152848.95999999999</v>
      </c>
      <c r="R29" s="5"/>
      <c r="U29" s="5"/>
      <c r="V29" s="5"/>
      <c r="W29" s="5"/>
      <c r="X29" s="5"/>
    </row>
    <row r="30" spans="16:31" x14ac:dyDescent="0.2">
      <c r="P30" s="7">
        <v>175162.97</v>
      </c>
      <c r="R30" s="5"/>
      <c r="U30" s="5"/>
      <c r="V30" s="5"/>
      <c r="W30" s="5"/>
      <c r="X30" s="5"/>
    </row>
    <row r="31" spans="16:31" x14ac:dyDescent="0.2">
      <c r="P31" s="7">
        <f>P30*3.67</f>
        <v>642848.09990000003</v>
      </c>
      <c r="R31" s="5"/>
      <c r="U31" s="5"/>
      <c r="V31" s="5"/>
      <c r="W31" s="5"/>
      <c r="X31" s="5"/>
    </row>
    <row r="32" spans="16:31" x14ac:dyDescent="0.2">
      <c r="R32" s="5"/>
      <c r="U32" s="5"/>
      <c r="V32" s="5"/>
      <c r="W32" s="5"/>
      <c r="X32" s="5"/>
    </row>
    <row r="33" spans="18:24" x14ac:dyDescent="0.2">
      <c r="R33" s="5"/>
      <c r="U33" s="5"/>
      <c r="V33" s="5"/>
      <c r="W33" s="5"/>
      <c r="X33" s="5"/>
    </row>
    <row r="34" spans="18:24" x14ac:dyDescent="0.2">
      <c r="R34" s="5"/>
      <c r="U34" s="5"/>
      <c r="V34" s="5"/>
      <c r="W34" s="5"/>
      <c r="X34" s="5"/>
    </row>
  </sheetData>
  <conditionalFormatting sqref="AB14:AC1048576 AB1:AC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ФПЗ_Э11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 Шалабаев</dc:creator>
  <dc:description/>
  <cp:lastModifiedBy>Vladislav Zinovyev</cp:lastModifiedBy>
  <cp:revision>62</cp:revision>
  <dcterms:created xsi:type="dcterms:W3CDTF">2024-10-07T18:09:28Z</dcterms:created>
  <dcterms:modified xsi:type="dcterms:W3CDTF">2026-06-23T05:27:17Z</dcterms:modified>
  <dc:language>ru-RU</dc:language>
</cp:coreProperties>
</file>