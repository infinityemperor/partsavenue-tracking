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nov\OneDrive\Desktop\РАБОЧАЯ\001 ИМПОРТ\001 containers\2026\001 UAE\UAE#9_APMG\"/>
    </mc:Choice>
  </mc:AlternateContent>
  <xr:revisionPtr revIDLastSave="0" documentId="13_ncr:1_{905DF05E-E8F9-41CB-814F-9588FFA4AAC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ФПЗ_Э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8" i="1" l="1"/>
  <c r="Z2" i="1"/>
  <c r="Y2" i="1"/>
  <c r="V2" i="1"/>
  <c r="E6" i="1"/>
  <c r="N2" i="1" l="1"/>
  <c r="N6" i="1" s="1"/>
  <c r="N7" i="1" s="1"/>
  <c r="P2" i="1"/>
  <c r="F2" i="1" l="1"/>
  <c r="M2" i="1"/>
  <c r="T8" i="1"/>
  <c r="M6" i="1" l="1"/>
  <c r="M14" i="1" s="1"/>
  <c r="Q8" i="1" l="1"/>
  <c r="Y3" i="1"/>
  <c r="L2" i="1"/>
  <c r="J2" i="1" l="1"/>
  <c r="J6" i="1" l="1"/>
  <c r="M19" i="1"/>
  <c r="Q2" i="1" l="1"/>
  <c r="S2" i="1"/>
  <c r="S6" i="1" s="1"/>
  <c r="T2" i="1"/>
  <c r="Q6" i="1" l="1"/>
  <c r="T6" i="1"/>
  <c r="R2" i="1"/>
  <c r="U2" i="1" l="1"/>
  <c r="R6" i="1"/>
  <c r="U6" i="1" l="1"/>
  <c r="AA2" i="1"/>
  <c r="X2" i="1"/>
  <c r="AA3" i="1" l="1"/>
  <c r="Z3" i="1"/>
  <c r="Z7" i="1" l="1"/>
</calcChain>
</file>

<file path=xl/sharedStrings.xml><?xml version="1.0" encoding="utf-8"?>
<sst xmlns="http://schemas.openxmlformats.org/spreadsheetml/2006/main" count="36" uniqueCount="33">
  <si>
    <t>Производитель</t>
  </si>
  <si>
    <t>Наименование</t>
  </si>
  <si>
    <t>Литраж</t>
  </si>
  <si>
    <t>Заказ</t>
  </si>
  <si>
    <t>Кол-во в кор</t>
  </si>
  <si>
    <t>Итого кор</t>
  </si>
  <si>
    <t>Цена за ШТ (Закупка в валюте поставщика)</t>
  </si>
  <si>
    <t>Итого за позицию</t>
  </si>
  <si>
    <t>Вес брутто ИТОГО</t>
  </si>
  <si>
    <t>Курс валюты</t>
  </si>
  <si>
    <t>Цена в рублях по Инвойсу Поставщика</t>
  </si>
  <si>
    <t xml:space="preserve">Сумма  за товар в руюлях </t>
  </si>
  <si>
    <t xml:space="preserve">Таможня </t>
  </si>
  <si>
    <t>Доставка</t>
  </si>
  <si>
    <t>Услуги брокеров</t>
  </si>
  <si>
    <t>Общая сумма закупа + ТО и доставка</t>
  </si>
  <si>
    <t>Дистриб</t>
  </si>
  <si>
    <t>Сумма реализации</t>
  </si>
  <si>
    <t>Стоимость ящика закуп</t>
  </si>
  <si>
    <t>BMW</t>
  </si>
  <si>
    <t>Общий вес с паллетами</t>
  </si>
  <si>
    <t>введите</t>
  </si>
  <si>
    <t xml:space="preserve">Ожидаемый % рент. </t>
  </si>
  <si>
    <t>Цена за ШТ (Закупка в валюте поставщика) + КМ</t>
  </si>
  <si>
    <t>До корректировки</t>
  </si>
  <si>
    <t>Разница</t>
  </si>
  <si>
    <t>Новый себес</t>
  </si>
  <si>
    <t>Обзий объем</t>
  </si>
  <si>
    <t>Новая рентабельность</t>
  </si>
  <si>
    <t>Заказ из ящика №7</t>
  </si>
  <si>
    <t>Артикул</t>
  </si>
  <si>
    <t>0450000115</t>
  </si>
  <si>
    <t>0450000115|Масло трансмиссионное ATF|Hyundai-KIA|SP-IV|Синтетическое|ОАЭ|12x1л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</si>
</sst>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#,##0.00&quot; ₽&quot;"/>
    <numFmt numFmtId="166" formatCode="0.0000"/>
    <numFmt numFmtId="167" formatCode="_-[$$-1009]* #,##0.00_-;\-[$$-1009]* #,##0.00_-;_-[$$-1009]* \-??_-;_-@_-"/>
    <numFmt numFmtId="168" formatCode="#,##0.00\ [$₽-419]"/>
    <numFmt numFmtId="169" formatCode="0.0%"/>
    <numFmt numFmtId="170" formatCode="#,##0.00\ [$₽-419];[Red]\-#,##0.00\ [$₽-419]"/>
    <numFmt numFmtId="171" formatCode="0&quot; кг.&quot;"/>
    <numFmt numFmtId="172" formatCode="#,##0.0"/>
    <numFmt numFmtId="173" formatCode="#,##0.00\ &quot;₽&quot;"/>
  </numFmts>
  <fonts count="14" x14ac:knownFonts="1">
    <font>
      <sz val="10"/>
      <color theme="1"/>
      <name val="Arial"/>
    </font>
    <font>
      <sz val="10"/>
      <name val="Arial"/>
      <family val="2"/>
      <charset val="204"/>
    </font>
    <font>
      <sz val="10"/>
      <name val="Calibri Light"/>
      <family val="2"/>
      <charset val="204"/>
    </font>
    <font>
      <b/>
      <sz val="10"/>
      <color indexed="2"/>
      <name val="Calibri Light"/>
      <family val="2"/>
      <charset val="204"/>
    </font>
    <font>
      <b/>
      <sz val="10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color indexed="2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color rgb="FFC00000"/>
      <name val="Calibri Light"/>
      <family val="2"/>
      <charset val="204"/>
    </font>
    <font>
      <b/>
      <sz val="11"/>
      <name val="Calibri Light"/>
      <family val="2"/>
      <charset val="204"/>
    </font>
    <font>
      <sz val="11"/>
      <color rgb="FFC9211E"/>
      <name val="Calibri Light"/>
      <family val="2"/>
      <charset val="204"/>
    </font>
    <font>
      <b/>
      <sz val="12"/>
      <color rgb="FF00A933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D7D7"/>
        <bgColor rgb="FFDDDDDD"/>
      </patternFill>
    </fill>
    <fill>
      <patternFill patternType="solid">
        <fgColor indexed="65"/>
        <bgColor indexed="26"/>
      </patternFill>
    </fill>
    <fill>
      <patternFill patternType="solid">
        <fgColor rgb="FFED7D31"/>
        <bgColor indexed="29"/>
      </patternFill>
    </fill>
    <fill>
      <patternFill patternType="solid">
        <fgColor indexed="5"/>
        <bgColor indexed="5"/>
      </patternFill>
    </fill>
    <fill>
      <patternFill patternType="solid">
        <fgColor rgb="FF81D41A"/>
        <bgColor indexed="55"/>
      </patternFill>
    </fill>
    <fill>
      <patternFill patternType="solid">
        <fgColor rgb="FFDDDDDD"/>
        <bgColor rgb="FFFFD7D7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Border="0" applyProtection="0"/>
  </cellStyleXfs>
  <cellXfs count="67">
    <xf numFmtId="0" fontId="0" fillId="0" borderId="0" xfId="0"/>
    <xf numFmtId="49" fontId="2" fillId="0" borderId="0" xfId="0" applyNumberFormat="1" applyFont="1" applyAlignment="1" applyProtection="1">
      <alignment vertical="center" wrapText="1"/>
    </xf>
    <xf numFmtId="1" fontId="2" fillId="0" borderId="0" xfId="0" applyNumberFormat="1" applyFont="1" applyAlignment="1" applyProtection="1">
      <alignment horizontal="left" vertical="center" wrapText="1"/>
    </xf>
    <xf numFmtId="2" fontId="2" fillId="0" borderId="0" xfId="0" applyNumberFormat="1" applyFont="1" applyAlignment="1" applyProtection="1">
      <alignment horizontal="left" vertical="center" wrapText="1"/>
    </xf>
    <xf numFmtId="1" fontId="3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wrapText="1"/>
    </xf>
    <xf numFmtId="1" fontId="4" fillId="0" borderId="0" xfId="0" applyNumberFormat="1" applyFont="1" applyAlignment="1" applyProtection="1">
      <alignment horizontal="center" wrapText="1"/>
    </xf>
    <xf numFmtId="2" fontId="2" fillId="0" borderId="0" xfId="0" applyNumberFormat="1" applyFont="1" applyAlignment="1" applyProtection="1">
      <alignment horizontal="center" wrapText="1"/>
    </xf>
    <xf numFmtId="0" fontId="2" fillId="0" borderId="0" xfId="0" applyFont="1" applyProtection="1"/>
    <xf numFmtId="49" fontId="5" fillId="2" borderId="1" xfId="0" applyNumberFormat="1" applyFont="1" applyFill="1" applyBorder="1" applyAlignment="1" applyProtection="1">
      <alignment horizontal="center" vertical="center" wrapText="1"/>
    </xf>
    <xf numFmtId="1" fontId="5" fillId="2" borderId="1" xfId="0" applyNumberFormat="1" applyFont="1" applyFill="1" applyBorder="1" applyAlignment="1" applyProtection="1">
      <alignment horizontal="center" vertical="center" wrapText="1"/>
    </xf>
    <xf numFmtId="2" fontId="5" fillId="2" borderId="1" xfId="0" applyNumberFormat="1" applyFont="1" applyFill="1" applyBorder="1" applyAlignment="1" applyProtection="1">
      <alignment horizontal="center" vertical="center" wrapText="1"/>
    </xf>
    <xf numFmtId="1" fontId="6" fillId="2" borderId="1" xfId="0" applyNumberFormat="1" applyFont="1" applyFill="1" applyBorder="1" applyAlignment="1" applyProtection="1">
      <alignment horizontal="center" vertical="center" wrapText="1"/>
    </xf>
    <xf numFmtId="2" fontId="5" fillId="2" borderId="2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5" fontId="5" fillId="3" borderId="1" xfId="0" applyNumberFormat="1" applyFont="1" applyFill="1" applyBorder="1" applyAlignment="1" applyProtection="1">
      <alignment horizontal="center" vertical="center" wrapText="1"/>
    </xf>
    <xf numFmtId="165" fontId="5" fillId="0" borderId="3" xfId="0" applyNumberFormat="1" applyFont="1" applyBorder="1" applyAlignment="1" applyProtection="1">
      <alignment horizontal="center" vertical="center" wrapText="1"/>
    </xf>
    <xf numFmtId="2" fontId="5" fillId="3" borderId="1" xfId="0" applyNumberFormat="1" applyFont="1" applyFill="1" applyBorder="1" applyAlignment="1" applyProtection="1">
      <alignment horizontal="center" vertical="center" wrapText="1"/>
    </xf>
    <xf numFmtId="1" fontId="6" fillId="0" borderId="1" xfId="0" applyNumberFormat="1" applyFont="1" applyBorder="1" applyAlignment="1" applyProtection="1">
      <alignment horizontal="center" vertical="center" wrapText="1"/>
    </xf>
    <xf numFmtId="1" fontId="5" fillId="4" borderId="1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left" vertical="center" wrapText="1"/>
    </xf>
    <xf numFmtId="4" fontId="7" fillId="0" borderId="4" xfId="0" applyNumberFormat="1" applyFont="1" applyBorder="1" applyAlignment="1" applyProtection="1">
      <alignment horizontal="center" vertical="center" wrapText="1"/>
    </xf>
    <xf numFmtId="167" fontId="7" fillId="0" borderId="2" xfId="2" applyNumberFormat="1" applyFont="1" applyBorder="1" applyAlignment="1" applyProtection="1">
      <alignment horizontal="right" vertical="center"/>
    </xf>
    <xf numFmtId="1" fontId="7" fillId="5" borderId="4" xfId="0" applyNumberFormat="1" applyFont="1" applyFill="1" applyBorder="1" applyAlignment="1" applyProtection="1">
      <alignment horizontal="center" vertical="center" wrapText="1"/>
    </xf>
    <xf numFmtId="168" fontId="7" fillId="0" borderId="4" xfId="0" applyNumberFormat="1" applyFont="1" applyBorder="1" applyAlignment="1" applyProtection="1">
      <alignment horizontal="right" vertical="center" wrapText="1"/>
    </xf>
    <xf numFmtId="1" fontId="7" fillId="4" borderId="4" xfId="0" applyNumberFormat="1" applyFont="1" applyFill="1" applyBorder="1" applyAlignment="1" applyProtection="1">
      <alignment horizontal="center" vertical="center" wrapText="1"/>
    </xf>
    <xf numFmtId="165" fontId="7" fillId="0" borderId="4" xfId="0" applyNumberFormat="1" applyFont="1" applyBorder="1" applyAlignment="1" applyProtection="1">
      <alignment horizontal="right" vertical="center" wrapText="1"/>
    </xf>
    <xf numFmtId="168" fontId="7" fillId="0" borderId="0" xfId="0" applyNumberFormat="1" applyFont="1" applyAlignment="1" applyProtection="1">
      <alignment horizontal="right" vertical="center" wrapText="1"/>
    </xf>
    <xf numFmtId="49" fontId="7" fillId="0" borderId="0" xfId="0" applyNumberFormat="1" applyFont="1" applyAlignment="1" applyProtection="1">
      <alignment vertical="center" wrapText="1"/>
    </xf>
    <xf numFmtId="1" fontId="7" fillId="0" borderId="0" xfId="0" applyNumberFormat="1" applyFont="1" applyAlignment="1" applyProtection="1">
      <alignment horizontal="left" vertical="center" wrapText="1"/>
    </xf>
    <xf numFmtId="2" fontId="7" fillId="0" borderId="0" xfId="0" applyNumberFormat="1" applyFont="1" applyAlignment="1" applyProtection="1">
      <alignment horizontal="left" vertical="center" wrapText="1"/>
    </xf>
    <xf numFmtId="1" fontId="5" fillId="6" borderId="0" xfId="0" applyNumberFormat="1" applyFont="1" applyFill="1" applyAlignment="1" applyProtection="1">
      <alignment horizontal="center" wrapText="1"/>
    </xf>
    <xf numFmtId="1" fontId="8" fillId="0" borderId="0" xfId="0" applyNumberFormat="1" applyFont="1" applyAlignment="1" applyProtection="1">
      <alignment horizontal="center" wrapText="1"/>
    </xf>
    <xf numFmtId="170" fontId="9" fillId="7" borderId="0" xfId="0" applyNumberFormat="1" applyFont="1" applyFill="1" applyProtection="1"/>
    <xf numFmtId="9" fontId="0" fillId="0" borderId="0" xfId="3" applyNumberFormat="1" applyFont="1" applyAlignment="1" applyProtection="1">
      <alignment horizontal="center" wrapText="1"/>
    </xf>
    <xf numFmtId="0" fontId="10" fillId="7" borderId="0" xfId="0" applyFont="1" applyFill="1" applyAlignment="1" applyProtection="1">
      <alignment horizontal="center"/>
    </xf>
    <xf numFmtId="0" fontId="0" fillId="0" borderId="0" xfId="0" applyProtection="1"/>
    <xf numFmtId="165" fontId="11" fillId="0" borderId="0" xfId="0" applyNumberFormat="1" applyFont="1" applyAlignment="1" applyProtection="1">
      <alignment horizontal="right" wrapText="1"/>
    </xf>
    <xf numFmtId="165" fontId="11" fillId="0" borderId="0" xfId="0" applyNumberFormat="1" applyFont="1" applyAlignment="1" applyProtection="1">
      <alignment horizontal="center" wrapText="1"/>
    </xf>
    <xf numFmtId="172" fontId="1" fillId="0" borderId="0" xfId="3" applyNumberFormat="1" applyFont="1" applyProtection="1"/>
    <xf numFmtId="49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left" vertical="center" wrapText="1"/>
    </xf>
    <xf numFmtId="4" fontId="7" fillId="0" borderId="0" xfId="0" applyNumberFormat="1" applyFont="1" applyBorder="1" applyAlignment="1" applyProtection="1">
      <alignment horizontal="center" vertical="center" wrapText="1"/>
    </xf>
    <xf numFmtId="167" fontId="7" fillId="0" borderId="0" xfId="2" applyNumberFormat="1" applyFont="1" applyBorder="1" applyAlignment="1" applyProtection="1">
      <alignment horizontal="right" vertical="center"/>
    </xf>
    <xf numFmtId="168" fontId="7" fillId="0" borderId="0" xfId="0" applyNumberFormat="1" applyFont="1" applyBorder="1" applyAlignment="1" applyProtection="1">
      <alignment horizontal="right" vertical="center" wrapText="1"/>
    </xf>
    <xf numFmtId="168" fontId="6" fillId="0" borderId="0" xfId="0" applyNumberFormat="1" applyFont="1" applyBorder="1" applyAlignment="1" applyProtection="1">
      <alignment horizontal="right" vertical="center" wrapText="1"/>
    </xf>
    <xf numFmtId="169" fontId="1" fillId="0" borderId="0" xfId="3" applyNumberFormat="1" applyFont="1" applyBorder="1" applyProtection="1"/>
    <xf numFmtId="165" fontId="7" fillId="0" borderId="0" xfId="0" applyNumberFormat="1" applyFont="1" applyBorder="1" applyAlignment="1" applyProtection="1">
      <alignment horizontal="right" vertical="center" wrapText="1"/>
    </xf>
    <xf numFmtId="167" fontId="9" fillId="6" borderId="2" xfId="0" applyNumberFormat="1" applyFont="1" applyFill="1" applyBorder="1" applyAlignment="1" applyProtection="1">
      <alignment horizontal="left" vertical="center" wrapText="1"/>
    </xf>
    <xf numFmtId="171" fontId="8" fillId="5" borderId="2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Fill="1" applyBorder="1" applyAlignment="1" applyProtection="1">
      <alignment horizontal="center" vertical="center" wrapText="1"/>
    </xf>
    <xf numFmtId="167" fontId="9" fillId="6" borderId="2" xfId="0" applyNumberFormat="1" applyFont="1" applyFill="1" applyBorder="1" applyProtection="1"/>
    <xf numFmtId="1" fontId="8" fillId="5" borderId="2" xfId="0" applyNumberFormat="1" applyFont="1" applyFill="1" applyBorder="1" applyAlignment="1" applyProtection="1">
      <alignment horizontal="center" wrapText="1"/>
    </xf>
    <xf numFmtId="165" fontId="12" fillId="0" borderId="0" xfId="0" applyNumberFormat="1" applyFont="1" applyBorder="1" applyAlignment="1" applyProtection="1">
      <alignment horizontal="right" vertical="center" wrapText="1"/>
    </xf>
    <xf numFmtId="0" fontId="13" fillId="8" borderId="2" xfId="0" applyFont="1" applyFill="1" applyBorder="1" applyAlignment="1">
      <alignment horizontal="center" vertical="center"/>
    </xf>
    <xf numFmtId="10" fontId="13" fillId="8" borderId="2" xfId="3" applyNumberFormat="1" applyFont="1" applyFill="1" applyBorder="1" applyAlignment="1" applyProtection="1">
      <alignment horizontal="center" vertical="center"/>
    </xf>
    <xf numFmtId="173" fontId="7" fillId="0" borderId="0" xfId="0" applyNumberFormat="1" applyFont="1" applyAlignment="1" applyProtection="1">
      <alignment horizontal="center" wrapText="1"/>
    </xf>
    <xf numFmtId="168" fontId="6" fillId="9" borderId="4" xfId="0" applyNumberFormat="1" applyFont="1" applyFill="1" applyBorder="1" applyAlignment="1" applyProtection="1">
      <alignment horizontal="right" vertical="center" wrapText="1"/>
    </xf>
    <xf numFmtId="169" fontId="1" fillId="9" borderId="4" xfId="3" applyNumberFormat="1" applyFont="1" applyFill="1" applyBorder="1" applyProtection="1"/>
    <xf numFmtId="169" fontId="1" fillId="0" borderId="0" xfId="3" applyNumberFormat="1" applyProtection="1"/>
    <xf numFmtId="49" fontId="2" fillId="10" borderId="0" xfId="0" applyNumberFormat="1" applyFont="1" applyFill="1" applyAlignment="1" applyProtection="1">
      <alignment vertical="center" wrapText="1"/>
    </xf>
    <xf numFmtId="49" fontId="7" fillId="0" borderId="4" xfId="0" applyNumberFormat="1" applyFont="1" applyFill="1" applyBorder="1" applyAlignment="1" applyProtection="1">
      <alignment horizontal="center" vertical="center" wrapText="1"/>
    </xf>
  </cellXfs>
  <cellStyles count="4">
    <cellStyle name="Normal" xfId="0" builtinId="0"/>
    <cellStyle name="Normal 2" xfId="1" xr:uid="{00000000-0005-0000-0000-000000000000}"/>
    <cellStyle name="Percent" xfId="3" builtinId="5"/>
    <cellStyle name="Обычный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I28"/>
  <sheetViews>
    <sheetView tabSelected="1" zoomScale="70" zoomScaleNormal="70" workbookViewId="0">
      <pane xSplit="5" ySplit="1" topLeftCell="V2" activePane="bottomRight" state="frozen"/>
      <selection sqref="A1:H5"/>
      <selection pane="topRight"/>
      <selection pane="bottomLeft"/>
      <selection pane="bottomRight" activeCell="Y22" sqref="Y22"/>
    </sheetView>
  </sheetViews>
  <sheetFormatPr defaultColWidth="11.5703125" defaultRowHeight="12.75" x14ac:dyDescent="0.2"/>
  <cols>
    <col min="1" max="1" width="25.7109375" style="1" customWidth="1"/>
    <col min="2" max="2" width="24.85546875" style="2" customWidth="1"/>
    <col min="3" max="3" width="94.85546875" style="2" customWidth="1"/>
    <col min="4" max="4" width="11.7109375" style="3" customWidth="1"/>
    <col min="5" max="8" width="10.85546875" style="4" customWidth="1"/>
    <col min="9" max="9" width="10.42578125" style="5" customWidth="1"/>
    <col min="10" max="10" width="10.7109375" style="6" customWidth="1"/>
    <col min="11" max="12" width="22.28515625" style="6" bestFit="1" customWidth="1"/>
    <col min="13" max="13" width="16.42578125" style="7" customWidth="1"/>
    <col min="14" max="14" width="11.5703125" style="5"/>
    <col min="15" max="15" width="11.5703125" style="7"/>
    <col min="16" max="16" width="12.5703125" style="5" customWidth="1"/>
    <col min="17" max="17" width="18.5703125" style="5" customWidth="1"/>
    <col min="18" max="19" width="17.5703125" style="7" customWidth="1"/>
    <col min="20" max="20" width="14.140625" style="7" customWidth="1"/>
    <col min="21" max="21" width="21.5703125" style="7" customWidth="1"/>
    <col min="22" max="22" width="16" style="5" customWidth="1"/>
    <col min="23" max="23" width="17.5703125" style="5" customWidth="1"/>
    <col min="24" max="24" width="19.140625" style="5" customWidth="1"/>
    <col min="25" max="25" width="34.42578125" style="5" customWidth="1"/>
    <col min="26" max="26" width="28" style="5" customWidth="1"/>
    <col min="27" max="27" width="16.85546875" style="5" bestFit="1" customWidth="1"/>
    <col min="28" max="28" width="11.5703125" style="5"/>
    <col min="29" max="29" width="44.140625" style="5" customWidth="1"/>
    <col min="30" max="1021" width="11.5703125" style="5"/>
    <col min="1022" max="1023" width="11.5703125" style="8"/>
  </cols>
  <sheetData>
    <row r="1" spans="1:1023" ht="60.75" customHeight="1" x14ac:dyDescent="0.25">
      <c r="A1" s="9" t="s">
        <v>30</v>
      </c>
      <c r="B1" s="10" t="s">
        <v>0</v>
      </c>
      <c r="C1" s="10" t="s">
        <v>1</v>
      </c>
      <c r="D1" s="11" t="s">
        <v>2</v>
      </c>
      <c r="E1" s="12" t="s">
        <v>3</v>
      </c>
      <c r="F1" s="12" t="s">
        <v>27</v>
      </c>
      <c r="G1" s="12" t="s">
        <v>24</v>
      </c>
      <c r="H1" s="12" t="s">
        <v>25</v>
      </c>
      <c r="I1" s="10" t="s">
        <v>4</v>
      </c>
      <c r="J1" s="10" t="s">
        <v>5</v>
      </c>
      <c r="K1" s="10" t="s">
        <v>6</v>
      </c>
      <c r="L1" s="10" t="s">
        <v>23</v>
      </c>
      <c r="M1" s="13" t="s">
        <v>7</v>
      </c>
      <c r="N1" s="14" t="s">
        <v>8</v>
      </c>
      <c r="O1" s="11" t="s">
        <v>9</v>
      </c>
      <c r="P1" s="15" t="s">
        <v>10</v>
      </c>
      <c r="Q1" s="16" t="s">
        <v>11</v>
      </c>
      <c r="R1" s="17" t="s">
        <v>12</v>
      </c>
      <c r="S1" s="17" t="s">
        <v>13</v>
      </c>
      <c r="T1" s="17" t="s">
        <v>14</v>
      </c>
      <c r="U1" s="17" t="s">
        <v>15</v>
      </c>
      <c r="V1" s="18" t="s">
        <v>26</v>
      </c>
      <c r="W1" s="19" t="s">
        <v>16</v>
      </c>
      <c r="X1" s="20" t="s">
        <v>28</v>
      </c>
      <c r="Y1" s="20" t="s">
        <v>17</v>
      </c>
      <c r="Z1" s="20" t="s">
        <v>18</v>
      </c>
      <c r="AA1" s="21"/>
      <c r="AB1" s="21"/>
      <c r="AC1" s="21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  <c r="AME1" s="22"/>
      <c r="AMF1" s="22"/>
      <c r="AMG1" s="22"/>
      <c r="AMH1" s="22"/>
      <c r="AMI1" s="22"/>
    </row>
    <row r="2" spans="1:1023" ht="15.75" x14ac:dyDescent="0.25">
      <c r="A2" s="66" t="s">
        <v>31</v>
      </c>
      <c r="B2" s="23" t="s">
        <v>19</v>
      </c>
      <c r="C2" s="24" t="s">
        <v>32</v>
      </c>
      <c r="D2" s="25">
        <v>1</v>
      </c>
      <c r="E2" s="25">
        <v>24360</v>
      </c>
      <c r="F2" s="25">
        <f>E2*D2</f>
        <v>24360</v>
      </c>
      <c r="G2" s="25"/>
      <c r="H2" s="25"/>
      <c r="I2" s="25">
        <v>12</v>
      </c>
      <c r="J2" s="25">
        <f t="shared" ref="J2" si="0">E2/I2</f>
        <v>2030</v>
      </c>
      <c r="K2" s="26">
        <v>5.9</v>
      </c>
      <c r="L2" s="26">
        <f>K2+17/O2</f>
        <v>6.1291105121293805</v>
      </c>
      <c r="M2" s="26">
        <f>K2*E2</f>
        <v>143724</v>
      </c>
      <c r="N2" s="27">
        <f>D2*E2*0.94</f>
        <v>22898.399999999998</v>
      </c>
      <c r="O2" s="23">
        <v>74.2</v>
      </c>
      <c r="P2" s="28">
        <f>K2*O2</f>
        <v>437.78000000000003</v>
      </c>
      <c r="Q2" s="28">
        <f>$Q$8/$M$6*M2</f>
        <v>10664320.800000001</v>
      </c>
      <c r="R2" s="28">
        <f>$R$8/$M$6*M2</f>
        <v>3300000</v>
      </c>
      <c r="S2" s="28">
        <f>$S$8/$N$6*N2</f>
        <v>1850000</v>
      </c>
      <c r="T2" s="28">
        <f>$T$8/$N$6*N2</f>
        <v>55000</v>
      </c>
      <c r="U2" s="28">
        <f t="shared" ref="U2" si="1">Q2+R2+S2+T2</f>
        <v>15869320.800000001</v>
      </c>
      <c r="V2" s="62">
        <f>P2*($U$8 / $Q$6)</f>
        <v>710.91054897045547</v>
      </c>
      <c r="W2" s="29">
        <v>810</v>
      </c>
      <c r="X2" s="63">
        <f>(W2-V2)/V2</f>
        <v>0.13938385240315596</v>
      </c>
      <c r="Y2" s="30">
        <f>W2*E2</f>
        <v>19731600</v>
      </c>
      <c r="Z2" s="30">
        <f>E2*V2</f>
        <v>17317780.972920295</v>
      </c>
      <c r="AA2" s="61">
        <f>V2*E2</f>
        <v>17317780.972920295</v>
      </c>
      <c r="AB2" s="21"/>
      <c r="AC2" s="21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  <c r="AMH2" s="22"/>
      <c r="AMI2" s="22"/>
    </row>
    <row r="3" spans="1:1023" ht="15.75" x14ac:dyDescent="0.25">
      <c r="A3" s="44"/>
      <c r="B3" s="45"/>
      <c r="C3" s="46"/>
      <c r="D3" s="47"/>
      <c r="E3" s="47"/>
      <c r="F3" s="47"/>
      <c r="G3" s="47"/>
      <c r="H3" s="47"/>
      <c r="I3" s="47"/>
      <c r="J3" s="47"/>
      <c r="K3" s="47"/>
      <c r="L3" s="48"/>
      <c r="M3" s="48"/>
      <c r="N3" s="55"/>
      <c r="O3" s="45"/>
      <c r="P3" s="49"/>
      <c r="Q3" s="49"/>
      <c r="R3" s="49"/>
      <c r="S3" s="49"/>
      <c r="T3" s="31"/>
      <c r="U3" s="49"/>
      <c r="V3" s="50"/>
      <c r="W3" s="55"/>
      <c r="X3" s="51"/>
      <c r="Y3" s="58">
        <f>SUM(Y2:Y2)</f>
        <v>19731600</v>
      </c>
      <c r="Z3" s="58">
        <f>SUM(Z2:Z2)</f>
        <v>17317780.972920295</v>
      </c>
      <c r="AA3" s="61">
        <f>SUM(AA2:AA2)</f>
        <v>17317780.972920295</v>
      </c>
      <c r="AB3" s="21"/>
      <c r="AC3" s="21"/>
    </row>
    <row r="4" spans="1:1023" ht="15.75" x14ac:dyDescent="0.25">
      <c r="A4" s="44"/>
      <c r="B4" s="45"/>
      <c r="C4" s="46"/>
      <c r="D4" s="47"/>
      <c r="E4" s="47"/>
      <c r="F4" s="47"/>
      <c r="G4" s="47"/>
      <c r="H4" s="47"/>
      <c r="I4" s="47"/>
      <c r="J4" s="47"/>
      <c r="K4" s="47"/>
      <c r="L4" s="48"/>
      <c r="M4" s="48"/>
      <c r="N4" s="55"/>
      <c r="O4" s="45"/>
      <c r="P4" s="49"/>
      <c r="Q4" s="49"/>
      <c r="R4" s="49"/>
      <c r="S4" s="49"/>
      <c r="T4" s="31"/>
      <c r="U4" s="49"/>
      <c r="V4" s="50"/>
      <c r="W4" s="55"/>
      <c r="X4" s="51"/>
      <c r="Y4" s="52"/>
      <c r="Z4" s="52"/>
      <c r="AA4" s="21"/>
      <c r="AB4" s="21"/>
      <c r="AC4" s="21"/>
    </row>
    <row r="5" spans="1:1023" ht="15.75" x14ac:dyDescent="0.25">
      <c r="A5" s="44"/>
      <c r="B5" s="45"/>
      <c r="C5" s="46"/>
      <c r="D5" s="47"/>
      <c r="E5" s="47"/>
      <c r="F5" s="47"/>
      <c r="G5" s="47"/>
      <c r="H5" s="47"/>
      <c r="I5" s="47"/>
      <c r="J5" s="47"/>
      <c r="K5" s="47"/>
      <c r="L5" s="48"/>
      <c r="M5" s="48"/>
      <c r="N5" s="55"/>
      <c r="O5" s="45"/>
      <c r="P5" s="49"/>
      <c r="Q5" s="49"/>
      <c r="R5" s="49"/>
      <c r="S5" s="49"/>
      <c r="T5" s="31"/>
      <c r="U5" s="49"/>
      <c r="V5" s="50"/>
      <c r="W5" s="55"/>
      <c r="X5" s="51"/>
      <c r="Y5" s="52"/>
      <c r="Z5" s="52"/>
      <c r="AA5" s="21"/>
      <c r="AB5" s="21"/>
      <c r="AC5" s="21"/>
    </row>
    <row r="6" spans="1:1023" ht="15.75" x14ac:dyDescent="0.25">
      <c r="A6" s="32"/>
      <c r="B6" s="33"/>
      <c r="C6" s="33"/>
      <c r="D6" s="34"/>
      <c r="E6" s="35">
        <f>SUM(E2:E2)</f>
        <v>24360</v>
      </c>
      <c r="F6" s="35"/>
      <c r="G6" s="35"/>
      <c r="H6" s="35"/>
      <c r="I6" s="36"/>
      <c r="J6" s="35">
        <f>SUM(J2:J2)</f>
        <v>2030</v>
      </c>
      <c r="K6" s="35"/>
      <c r="L6" s="36"/>
      <c r="M6" s="56">
        <f>SUMIF(M2:M2,"&lt;&gt;#ДЕЛ/0!")</f>
        <v>143724</v>
      </c>
      <c r="N6" s="57">
        <f>SUM(N2:N2)</f>
        <v>22898.399999999998</v>
      </c>
      <c r="P6" s="7"/>
      <c r="Q6" s="37">
        <f>SUMIF(Q2:Q2,"&lt;&gt;#ДЕЛ/0!")</f>
        <v>10664320.800000001</v>
      </c>
      <c r="R6" s="37">
        <f>SUMIF(R2:R2,"&lt;&gt;#ДЕЛ/0!")</f>
        <v>3300000</v>
      </c>
      <c r="S6" s="37">
        <f>SUMIF(S2:S2,"&lt;&gt;#ДЕЛ/0!")</f>
        <v>1850000</v>
      </c>
      <c r="T6" s="37">
        <f>SUMIF(T2:T2,"&lt;&gt;#ДЕЛ/0!")</f>
        <v>55000</v>
      </c>
      <c r="U6" s="37">
        <f>SUMIF(U2:U2,"&lt;&gt;#ДЕЛ/0!")</f>
        <v>15869320.800000001</v>
      </c>
      <c r="V6" s="38"/>
      <c r="W6" s="21"/>
      <c r="Z6" s="21"/>
      <c r="AA6" s="21"/>
      <c r="AB6" s="21"/>
      <c r="AC6" s="21"/>
      <c r="AMH6" s="5"/>
      <c r="AMI6" s="5"/>
    </row>
    <row r="7" spans="1:1023" ht="30" x14ac:dyDescent="0.25">
      <c r="A7" s="65" t="s">
        <v>29</v>
      </c>
      <c r="M7" s="53" t="s">
        <v>20</v>
      </c>
      <c r="N7" s="54">
        <f>N6+42*18</f>
        <v>23654.399999999998</v>
      </c>
      <c r="P7" s="7"/>
      <c r="Q7" s="39" t="s">
        <v>21</v>
      </c>
      <c r="R7" s="39" t="s">
        <v>21</v>
      </c>
      <c r="S7" s="39" t="s">
        <v>21</v>
      </c>
      <c r="T7" s="39" t="s">
        <v>21</v>
      </c>
      <c r="U7" s="40"/>
      <c r="Y7" s="59" t="s">
        <v>22</v>
      </c>
      <c r="Z7" s="60">
        <f>(Y3-Z3)/Z3</f>
        <v>0.13938385240315596</v>
      </c>
    </row>
    <row r="8" spans="1:1023" ht="15.75" x14ac:dyDescent="0.25">
      <c r="M8" s="6"/>
      <c r="N8" s="6"/>
      <c r="Q8" s="41">
        <f>M6*O2</f>
        <v>10664320.800000001</v>
      </c>
      <c r="R8" s="41">
        <v>3300000</v>
      </c>
      <c r="S8" s="42">
        <v>1850000</v>
      </c>
      <c r="T8" s="42">
        <f>40000+15000</f>
        <v>55000</v>
      </c>
      <c r="U8" s="41">
        <v>17317780.972920295</v>
      </c>
      <c r="Z8" s="58">
        <f>Y3-Z3</f>
        <v>2413819.0270797051</v>
      </c>
    </row>
    <row r="9" spans="1:1023" x14ac:dyDescent="0.2">
      <c r="M9" s="6"/>
      <c r="N9" s="6"/>
      <c r="O9" s="5"/>
      <c r="R9" s="5"/>
      <c r="S9" s="5"/>
      <c r="T9" s="5"/>
      <c r="U9" s="5"/>
    </row>
    <row r="10" spans="1:1023" x14ac:dyDescent="0.2">
      <c r="M10" s="6"/>
      <c r="N10" s="6"/>
      <c r="O10" s="5"/>
      <c r="R10" s="5"/>
      <c r="S10" s="5"/>
      <c r="T10" s="5"/>
      <c r="U10" s="5"/>
      <c r="AA10" s="64"/>
    </row>
    <row r="11" spans="1:1023" x14ac:dyDescent="0.2">
      <c r="M11" s="6"/>
      <c r="N11" s="6"/>
      <c r="O11" s="5"/>
      <c r="R11" s="5"/>
      <c r="S11" s="5"/>
      <c r="T11" s="5"/>
      <c r="U11" s="5"/>
    </row>
    <row r="12" spans="1:1023" x14ac:dyDescent="0.2">
      <c r="M12" s="6"/>
      <c r="N12" s="6"/>
      <c r="O12" s="5"/>
      <c r="R12" s="43"/>
      <c r="S12" s="5"/>
      <c r="T12" s="5"/>
      <c r="U12" s="5"/>
    </row>
    <row r="13" spans="1:1023" x14ac:dyDescent="0.2">
      <c r="M13" s="6"/>
      <c r="N13" s="6"/>
      <c r="O13" s="5"/>
      <c r="R13" s="5"/>
      <c r="S13" s="5"/>
      <c r="T13" s="5"/>
      <c r="U13" s="5"/>
    </row>
    <row r="14" spans="1:1023" x14ac:dyDescent="0.2">
      <c r="M14" s="7">
        <f>M6*3.67</f>
        <v>527467.07999999996</v>
      </c>
      <c r="O14" s="5"/>
      <c r="R14" s="5"/>
      <c r="S14" s="5"/>
      <c r="T14" s="5"/>
      <c r="U14" s="5"/>
    </row>
    <row r="15" spans="1:1023" x14ac:dyDescent="0.2">
      <c r="O15" s="5"/>
      <c r="R15" s="5"/>
      <c r="S15" s="5"/>
      <c r="T15" s="5"/>
      <c r="U15" s="5"/>
    </row>
    <row r="16" spans="1:1023" x14ac:dyDescent="0.2">
      <c r="O16" s="5"/>
      <c r="R16" s="5"/>
      <c r="S16" s="5"/>
      <c r="T16" s="5"/>
      <c r="U16" s="5"/>
    </row>
    <row r="17" spans="13:21" x14ac:dyDescent="0.2">
      <c r="O17" s="5"/>
      <c r="R17" s="5"/>
      <c r="S17" s="5"/>
      <c r="T17" s="5"/>
      <c r="U17" s="5"/>
    </row>
    <row r="18" spans="13:21" x14ac:dyDescent="0.2">
      <c r="O18" s="5"/>
      <c r="R18" s="5"/>
      <c r="S18" s="5"/>
      <c r="T18" s="5"/>
      <c r="U18" s="5"/>
    </row>
    <row r="19" spans="13:21" x14ac:dyDescent="0.2">
      <c r="M19" s="7">
        <f>M6*3.67</f>
        <v>527467.07999999996</v>
      </c>
      <c r="O19" s="5"/>
      <c r="R19" s="5"/>
      <c r="S19" s="5"/>
      <c r="T19" s="5"/>
      <c r="U19" s="5"/>
    </row>
    <row r="20" spans="13:21" x14ac:dyDescent="0.2">
      <c r="O20" s="5"/>
      <c r="R20" s="5"/>
      <c r="S20" s="5"/>
      <c r="T20" s="5"/>
      <c r="U20" s="5"/>
    </row>
    <row r="21" spans="13:21" x14ac:dyDescent="0.2">
      <c r="O21" s="5"/>
      <c r="R21" s="5"/>
      <c r="S21" s="5"/>
      <c r="T21" s="5"/>
      <c r="U21" s="5"/>
    </row>
    <row r="22" spans="13:21" x14ac:dyDescent="0.2">
      <c r="O22" s="5"/>
      <c r="R22" s="5"/>
      <c r="S22" s="5"/>
      <c r="T22" s="5"/>
      <c r="U22" s="5"/>
    </row>
    <row r="23" spans="13:21" x14ac:dyDescent="0.2">
      <c r="O23" s="5"/>
      <c r="R23" s="5"/>
      <c r="S23" s="5"/>
      <c r="T23" s="5"/>
      <c r="U23" s="5"/>
    </row>
    <row r="24" spans="13:21" x14ac:dyDescent="0.2">
      <c r="O24" s="5"/>
      <c r="R24" s="5"/>
      <c r="S24" s="5"/>
      <c r="T24" s="5"/>
      <c r="U24" s="5"/>
    </row>
    <row r="25" spans="13:21" x14ac:dyDescent="0.2">
      <c r="O25" s="5"/>
      <c r="R25" s="5"/>
      <c r="S25" s="5"/>
      <c r="T25" s="5"/>
      <c r="U25" s="5"/>
    </row>
    <row r="26" spans="13:21" x14ac:dyDescent="0.2">
      <c r="O26" s="5"/>
      <c r="R26" s="5"/>
      <c r="S26" s="5"/>
      <c r="T26" s="5"/>
      <c r="U26" s="5"/>
    </row>
    <row r="27" spans="13:21" x14ac:dyDescent="0.2">
      <c r="O27" s="5"/>
      <c r="R27" s="5"/>
      <c r="S27" s="5"/>
      <c r="T27" s="5"/>
      <c r="U27" s="5"/>
    </row>
    <row r="28" spans="13:21" x14ac:dyDescent="0.2">
      <c r="O28" s="5"/>
      <c r="R28" s="5"/>
      <c r="S28" s="5"/>
      <c r="T28" s="5"/>
      <c r="U28" s="5"/>
    </row>
  </sheetData>
  <conditionalFormatting sqref="X8:X1048576 X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ФПЗ_Э13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 Шалабаев</dc:creator>
  <dc:description/>
  <cp:lastModifiedBy>Vladislav Zinovyev</cp:lastModifiedBy>
  <cp:revision>62</cp:revision>
  <dcterms:created xsi:type="dcterms:W3CDTF">2024-10-07T18:09:28Z</dcterms:created>
  <dcterms:modified xsi:type="dcterms:W3CDTF">2026-07-22T14:54:21Z</dcterms:modified>
  <dc:language>ru-RU</dc:language>
</cp:coreProperties>
</file>