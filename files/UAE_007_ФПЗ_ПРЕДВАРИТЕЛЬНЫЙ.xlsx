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UAE\UAE#7\"/>
    </mc:Choice>
  </mc:AlternateContent>
  <xr:revisionPtr revIDLastSave="0" documentId="13_ncr:1_{146AB5E2-E570-4228-B552-C2416DFEE8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ФПЗ_Э7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1" l="1"/>
  <c r="M12" i="1"/>
  <c r="I11" i="1"/>
  <c r="E11" i="1"/>
  <c r="R13" i="1"/>
  <c r="I7" i="1"/>
  <c r="M7" i="1"/>
  <c r="K7" i="1"/>
  <c r="O7" i="1" s="1"/>
  <c r="I6" i="1"/>
  <c r="X6" i="1"/>
  <c r="X5" i="1"/>
  <c r="M6" i="1"/>
  <c r="K6" i="1"/>
  <c r="L6" i="1" s="1"/>
  <c r="S7" i="1" l="1"/>
  <c r="L7" i="1"/>
  <c r="X7" i="1"/>
  <c r="O6" i="1"/>
  <c r="L11" i="1" l="1"/>
  <c r="P13" i="1" s="1"/>
  <c r="R6" i="1"/>
  <c r="S6" i="1"/>
  <c r="R7" i="1"/>
  <c r="E4" i="1"/>
  <c r="F4" i="1"/>
  <c r="G3" i="1"/>
  <c r="F3" i="1"/>
  <c r="E5" i="1"/>
  <c r="G4" i="1" l="1"/>
  <c r="X4" i="1"/>
  <c r="K3" i="1"/>
  <c r="K4" i="1"/>
  <c r="O4" i="1" s="1"/>
  <c r="K5" i="1"/>
  <c r="O5" i="1" s="1"/>
  <c r="X3" i="1"/>
  <c r="X2" i="1"/>
  <c r="K2" i="1"/>
  <c r="X9" i="1" l="1"/>
  <c r="L5" i="1"/>
  <c r="M5" i="1"/>
  <c r="L4" i="1"/>
  <c r="I4" i="1"/>
  <c r="M3" i="1"/>
  <c r="I5" i="1"/>
  <c r="I3" i="1"/>
  <c r="M4" i="1"/>
  <c r="L3" i="1"/>
  <c r="O3" i="1"/>
  <c r="M2" i="1"/>
  <c r="I2" i="1"/>
  <c r="L2" i="1"/>
  <c r="O2" i="1"/>
  <c r="P6" i="1" l="1"/>
  <c r="P7" i="1"/>
  <c r="R3" i="1"/>
  <c r="R5" i="1"/>
  <c r="S3" i="1"/>
  <c r="R4" i="1"/>
  <c r="S5" i="1"/>
  <c r="S4" i="1"/>
  <c r="P4" i="1"/>
  <c r="P5" i="1"/>
  <c r="P3" i="1"/>
  <c r="P2" i="1"/>
  <c r="R2" i="1"/>
  <c r="R11" i="1" s="1"/>
  <c r="S2" i="1"/>
  <c r="Q13" i="1"/>
  <c r="Q7" i="1" s="1"/>
  <c r="S11" i="1" l="1"/>
  <c r="P11" i="1"/>
  <c r="T7" i="1"/>
  <c r="U7" i="1" s="1"/>
  <c r="T13" i="1"/>
  <c r="Q6" i="1"/>
  <c r="T6" i="1" s="1"/>
  <c r="U6" i="1" s="1"/>
  <c r="Q4" i="1"/>
  <c r="T4" i="1" s="1"/>
  <c r="U4" i="1" s="1"/>
  <c r="Q3" i="1"/>
  <c r="T3" i="1" s="1"/>
  <c r="U3" i="1" s="1"/>
  <c r="Q5" i="1"/>
  <c r="T5" i="1" s="1"/>
  <c r="U5" i="1" s="1"/>
  <c r="Q2" i="1"/>
  <c r="Q11" i="1" s="1"/>
  <c r="Y7" i="1" l="1"/>
  <c r="W7" i="1"/>
  <c r="Y6" i="1"/>
  <c r="W6" i="1"/>
  <c r="T2" i="1"/>
  <c r="T11" i="1" s="1"/>
  <c r="W5" i="1"/>
  <c r="Y5" i="1"/>
  <c r="W3" i="1"/>
  <c r="Y3" i="1"/>
  <c r="W4" i="1"/>
  <c r="Y4" i="1"/>
  <c r="U2" i="1" l="1"/>
  <c r="Y2" i="1" s="1"/>
  <c r="Y9" i="1" l="1"/>
  <c r="Y12" i="1" s="1"/>
  <c r="W2" i="1"/>
</calcChain>
</file>

<file path=xl/sharedStrings.xml><?xml version="1.0" encoding="utf-8"?>
<sst xmlns="http://schemas.openxmlformats.org/spreadsheetml/2006/main" count="49" uniqueCount="44">
  <si>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</si>
  <si>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</si>
  <si>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</si>
  <si>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</si>
  <si>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</si>
  <si>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</si>
  <si>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</si>
  <si>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</si>
  <si>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</si>
  <si>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</si>
  <si>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</si>
  <si>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</si>
  <si>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</si>
  <si>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</si>
  <si>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</si>
  <si>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</si>
  <si>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</si>
  <si>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</si>
  <si>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</si>
  <si>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</si>
  <si>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</si>
  <si>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</si>
  <si>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BMW</t>
  </si>
  <si>
    <t>Общий вес с паллетами</t>
  </si>
  <si>
    <t>введите</t>
  </si>
  <si>
    <t xml:space="preserve">Ожидаемый % рент. </t>
  </si>
  <si>
    <t>Цена за ШТ (Закупка в валюте поставщика) + КМ</t>
  </si>
  <si>
    <t>До корректировки</t>
  </si>
  <si>
    <t>Разница</t>
  </si>
  <si>
    <t>TwinPower Turbo LL-01 5W-30</t>
  </si>
  <si>
    <t>0888681885</t>
  </si>
  <si>
    <t>TOYOTA</t>
  </si>
  <si>
    <t>ATF WS</t>
  </si>
  <si>
    <t>601429774</t>
  </si>
  <si>
    <t>FUCSH</t>
  </si>
  <si>
    <t>Total CHF 11S</t>
  </si>
  <si>
    <t>MERSEDES-BENZ</t>
  </si>
  <si>
    <t>A000989330913ABDW</t>
  </si>
  <si>
    <t>229.52</t>
  </si>
  <si>
    <t>83212465843</t>
  </si>
  <si>
    <t>0450000115</t>
  </si>
  <si>
    <t>Hyundai/Kia</t>
  </si>
  <si>
    <t>HYUNDAI ATF SP-IV</t>
  </si>
  <si>
    <t>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</si>
</sst>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</numFmts>
  <fonts count="13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b/>
      <sz val="12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5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0" fontId="12" fillId="8" borderId="2" xfId="0" applyFont="1" applyFill="1" applyBorder="1" applyAlignment="1">
      <alignment horizontal="center" vertical="center"/>
    </xf>
    <xf numFmtId="10" fontId="12" fillId="8" borderId="2" xfId="3" applyNumberFormat="1" applyFont="1" applyFill="1" applyBorder="1" applyAlignment="1" applyProtection="1">
      <alignment horizontal="center" vertical="center"/>
    </xf>
    <xf numFmtId="1" fontId="7" fillId="5" borderId="0" xfId="0" applyNumberFormat="1" applyFont="1" applyFill="1" applyBorder="1" applyAlignment="1" applyProtection="1">
      <alignment horizontal="center" vertical="center" wrapText="1"/>
    </xf>
    <xf numFmtId="1" fontId="7" fillId="4" borderId="0" xfId="0" applyNumberFormat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H33"/>
  <sheetViews>
    <sheetView tabSelected="1" zoomScale="85" workbookViewId="0">
      <pane xSplit="5" ySplit="1" topLeftCell="I2" activePane="bottomRight" state="frozen"/>
      <selection sqref="A1:H5"/>
      <selection pane="topRight"/>
      <selection pane="bottomLeft"/>
      <selection pane="bottomRight" activeCell="W3" sqref="W3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44.7109375" style="2" bestFit="1" customWidth="1"/>
    <col min="4" max="4" width="11.7109375" style="3" customWidth="1"/>
    <col min="5" max="7" width="10.85546875" style="4" customWidth="1"/>
    <col min="8" max="8" width="10.42578125" style="5" customWidth="1"/>
    <col min="9" max="9" width="10.7109375" style="6" customWidth="1"/>
    <col min="10" max="11" width="22.28515625" style="6" bestFit="1" customWidth="1"/>
    <col min="12" max="12" width="16.42578125" style="7" customWidth="1"/>
    <col min="13" max="13" width="11.5703125" style="5"/>
    <col min="14" max="14" width="11.5703125" style="7"/>
    <col min="15" max="15" width="12.5703125" style="5" customWidth="1"/>
    <col min="16" max="16" width="18.5703125" style="5" customWidth="1"/>
    <col min="17" max="18" width="17.5703125" style="7" customWidth="1"/>
    <col min="19" max="19" width="14.140625" style="7" customWidth="1"/>
    <col min="20" max="20" width="21.5703125" style="7" customWidth="1"/>
    <col min="21" max="21" width="16" style="5" customWidth="1"/>
    <col min="22" max="22" width="17.5703125" style="5" customWidth="1"/>
    <col min="23" max="23" width="19.140625" style="5" customWidth="1"/>
    <col min="24" max="24" width="34.42578125" style="5" customWidth="1"/>
    <col min="25" max="25" width="28" style="5" customWidth="1"/>
    <col min="26" max="26" width="15.7109375" style="5" customWidth="1"/>
    <col min="27" max="27" width="11.5703125" style="5"/>
    <col min="28" max="28" width="44.140625" style="5" customWidth="1"/>
    <col min="29" max="1020" width="11.5703125" style="5"/>
    <col min="1021" max="1022" width="11.5703125" style="8"/>
  </cols>
  <sheetData>
    <row r="1" spans="1:1022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27</v>
      </c>
      <c r="G1" s="12" t="s">
        <v>28</v>
      </c>
      <c r="H1" s="10" t="s">
        <v>5</v>
      </c>
      <c r="I1" s="10" t="s">
        <v>6</v>
      </c>
      <c r="J1" s="10" t="s">
        <v>7</v>
      </c>
      <c r="K1" s="10" t="s">
        <v>26</v>
      </c>
      <c r="L1" s="13" t="s">
        <v>8</v>
      </c>
      <c r="M1" s="14" t="s">
        <v>9</v>
      </c>
      <c r="N1" s="11" t="s">
        <v>10</v>
      </c>
      <c r="O1" s="15" t="s">
        <v>11</v>
      </c>
      <c r="P1" s="16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8" t="s">
        <v>17</v>
      </c>
      <c r="V1" s="19" t="s">
        <v>18</v>
      </c>
      <c r="W1" s="20" t="s">
        <v>19</v>
      </c>
      <c r="X1" s="20" t="s">
        <v>20</v>
      </c>
      <c r="Y1" s="20" t="s">
        <v>21</v>
      </c>
      <c r="Z1" s="21"/>
      <c r="AA1" s="21"/>
      <c r="AB1" s="21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</row>
    <row r="2" spans="1:1022" ht="15.75" x14ac:dyDescent="0.25">
      <c r="A2" s="23" t="s">
        <v>30</v>
      </c>
      <c r="B2" s="24" t="s">
        <v>31</v>
      </c>
      <c r="C2" s="25" t="s">
        <v>32</v>
      </c>
      <c r="D2" s="26">
        <v>4</v>
      </c>
      <c r="E2" s="26">
        <v>4000</v>
      </c>
      <c r="F2" s="26"/>
      <c r="G2" s="26"/>
      <c r="H2" s="26">
        <v>6</v>
      </c>
      <c r="I2" s="26">
        <f t="shared" ref="I2:I7" si="0">E2/H2</f>
        <v>666.66666666666663</v>
      </c>
      <c r="J2" s="27">
        <v>23</v>
      </c>
      <c r="K2" s="27">
        <f>J2+17/N2</f>
        <v>23.215189873417721</v>
      </c>
      <c r="L2" s="27">
        <f t="shared" ref="L2:L7" si="1">K2*E2</f>
        <v>92860.759493670877</v>
      </c>
      <c r="M2" s="28">
        <f t="shared" ref="M2:M7" si="2">D2*E2*0.97</f>
        <v>15520</v>
      </c>
      <c r="N2" s="24">
        <v>79</v>
      </c>
      <c r="O2" s="29">
        <f t="shared" ref="O2" si="3">K2*N2*1.0425</f>
        <v>1911.9449999999999</v>
      </c>
      <c r="P2" s="29">
        <f t="shared" ref="P2:P7" si="4">$P$13/$L$11*L2</f>
        <v>7335999.9999999991</v>
      </c>
      <c r="Q2" s="29">
        <f t="shared" ref="Q2:Q7" si="5">$Q$13/$L$11*L2</f>
        <v>2200799.9999999995</v>
      </c>
      <c r="R2" s="29">
        <f t="shared" ref="R2:R7" si="6">$R$13/$M$11*M2</f>
        <v>1166538.7567152726</v>
      </c>
      <c r="S2" s="29">
        <f t="shared" ref="S2:S7" si="7">$S$13/$M$11*M2</f>
        <v>24558.710667689949</v>
      </c>
      <c r="T2" s="29">
        <f t="shared" ref="T2" si="8">P2+Q2+R2+S2</f>
        <v>10727897.467382962</v>
      </c>
      <c r="U2" s="30">
        <f t="shared" ref="U2:U7" si="9">IFERROR(SUM(T2/E2),"")</f>
        <v>2681.9743668457404</v>
      </c>
      <c r="V2" s="31">
        <v>3600</v>
      </c>
      <c r="W2" s="32">
        <f>IFERROR((V2-U2)/U2,"")</f>
        <v>0.34229470814590446</v>
      </c>
      <c r="X2" s="33">
        <f t="shared" ref="X2:X7" si="10">V2*E2</f>
        <v>14400000</v>
      </c>
      <c r="Y2" s="33">
        <f t="shared" ref="Y2:Y7" si="11">IFERROR(U2*E2,"")</f>
        <v>10727897.467382962</v>
      </c>
      <c r="Z2" s="21"/>
      <c r="AA2" s="21"/>
      <c r="AB2" s="21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</row>
    <row r="3" spans="1:1022" ht="15.75" x14ac:dyDescent="0.25">
      <c r="A3" s="23" t="s">
        <v>33</v>
      </c>
      <c r="B3" s="24" t="s">
        <v>34</v>
      </c>
      <c r="C3" s="25" t="s">
        <v>35</v>
      </c>
      <c r="D3" s="26">
        <v>1</v>
      </c>
      <c r="E3" s="26">
        <v>0</v>
      </c>
      <c r="F3" s="26">
        <f>600*4</f>
        <v>2400</v>
      </c>
      <c r="G3" s="26">
        <f>E3-F3</f>
        <v>-2400</v>
      </c>
      <c r="H3" s="26">
        <v>12</v>
      </c>
      <c r="I3" s="26">
        <f t="shared" si="0"/>
        <v>0</v>
      </c>
      <c r="J3" s="27">
        <v>9.1</v>
      </c>
      <c r="K3" s="27">
        <f t="shared" ref="K3:K5" si="12">J3+17/N3</f>
        <v>9.3151898734177205</v>
      </c>
      <c r="L3" s="27">
        <f t="shared" si="1"/>
        <v>0</v>
      </c>
      <c r="M3" s="28">
        <f t="shared" si="2"/>
        <v>0</v>
      </c>
      <c r="N3" s="24">
        <v>79</v>
      </c>
      <c r="O3" s="29">
        <f t="shared" ref="O3:O5" si="13">K3*N3*1.0425</f>
        <v>767.17574999999999</v>
      </c>
      <c r="P3" s="29">
        <f t="shared" si="4"/>
        <v>0</v>
      </c>
      <c r="Q3" s="29">
        <f t="shared" si="5"/>
        <v>0</v>
      </c>
      <c r="R3" s="29">
        <f t="shared" si="6"/>
        <v>0</v>
      </c>
      <c r="S3" s="29">
        <f t="shared" si="7"/>
        <v>0</v>
      </c>
      <c r="T3" s="29">
        <f t="shared" ref="T3:T5" si="14">P3+Q3+R3+S3</f>
        <v>0</v>
      </c>
      <c r="U3" s="30" t="str">
        <f t="shared" si="9"/>
        <v/>
      </c>
      <c r="V3" s="31">
        <v>1500</v>
      </c>
      <c r="W3" s="32" t="str">
        <f t="shared" ref="W3:W7" si="15">IFERROR((V3-U3)/U3,"")</f>
        <v/>
      </c>
      <c r="X3" s="33">
        <f t="shared" si="10"/>
        <v>0</v>
      </c>
      <c r="Y3" s="33" t="str">
        <f t="shared" si="11"/>
        <v/>
      </c>
      <c r="Z3" s="21"/>
      <c r="AA3" s="21"/>
      <c r="AB3" s="21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</row>
    <row r="4" spans="1:1022" ht="15.75" x14ac:dyDescent="0.25">
      <c r="A4" s="23" t="s">
        <v>39</v>
      </c>
      <c r="B4" s="24" t="s">
        <v>22</v>
      </c>
      <c r="C4" s="25" t="s">
        <v>29</v>
      </c>
      <c r="D4" s="26">
        <v>1</v>
      </c>
      <c r="E4" s="26">
        <f>576*9-892</f>
        <v>4292</v>
      </c>
      <c r="F4" s="26">
        <f>576*9</f>
        <v>5184</v>
      </c>
      <c r="G4" s="26">
        <f>E4-F4</f>
        <v>-892</v>
      </c>
      <c r="H4" s="26">
        <v>12</v>
      </c>
      <c r="I4" s="26">
        <f t="shared" si="0"/>
        <v>357.66666666666669</v>
      </c>
      <c r="J4" s="27">
        <v>6.8</v>
      </c>
      <c r="K4" s="27">
        <f t="shared" si="12"/>
        <v>7.0151898734177216</v>
      </c>
      <c r="L4" s="27">
        <f t="shared" si="1"/>
        <v>30109.19493670886</v>
      </c>
      <c r="M4" s="28">
        <f t="shared" si="2"/>
        <v>4163.24</v>
      </c>
      <c r="N4" s="24">
        <v>79</v>
      </c>
      <c r="O4" s="29">
        <f t="shared" si="13"/>
        <v>577.75350000000003</v>
      </c>
      <c r="P4" s="29">
        <f t="shared" si="4"/>
        <v>2378626.4</v>
      </c>
      <c r="Q4" s="29">
        <f t="shared" si="5"/>
        <v>713587.91999999993</v>
      </c>
      <c r="R4" s="29">
        <f t="shared" si="6"/>
        <v>312924.02148887183</v>
      </c>
      <c r="S4" s="29">
        <f t="shared" si="7"/>
        <v>6587.8741366078284</v>
      </c>
      <c r="T4" s="29">
        <f t="shared" si="14"/>
        <v>3411726.2156254794</v>
      </c>
      <c r="U4" s="30">
        <f t="shared" si="9"/>
        <v>794.90359171143507</v>
      </c>
      <c r="V4" s="31">
        <v>960</v>
      </c>
      <c r="W4" s="32">
        <f t="shared" si="15"/>
        <v>0.20769362474902242</v>
      </c>
      <c r="X4" s="33">
        <f t="shared" si="10"/>
        <v>4120320</v>
      </c>
      <c r="Y4" s="33">
        <f t="shared" si="11"/>
        <v>3411726.2156254794</v>
      </c>
      <c r="Z4" s="21"/>
      <c r="AA4" s="21"/>
      <c r="AB4" s="21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</row>
    <row r="5" spans="1:1022" ht="15.75" x14ac:dyDescent="0.25">
      <c r="A5" s="23" t="s">
        <v>37</v>
      </c>
      <c r="B5" s="24" t="s">
        <v>36</v>
      </c>
      <c r="C5" s="25" t="s">
        <v>38</v>
      </c>
      <c r="D5" s="26">
        <v>5</v>
      </c>
      <c r="E5" s="26">
        <f>120*2</f>
        <v>240</v>
      </c>
      <c r="F5" s="26"/>
      <c r="G5" s="26"/>
      <c r="H5" s="26">
        <v>3</v>
      </c>
      <c r="I5" s="26">
        <f t="shared" si="0"/>
        <v>80</v>
      </c>
      <c r="J5" s="27">
        <v>35.44</v>
      </c>
      <c r="K5" s="27">
        <f t="shared" si="12"/>
        <v>35.655189873417719</v>
      </c>
      <c r="L5" s="27">
        <f t="shared" si="1"/>
        <v>8557.2455696202524</v>
      </c>
      <c r="M5" s="28">
        <f t="shared" si="2"/>
        <v>1164</v>
      </c>
      <c r="N5" s="24">
        <v>79</v>
      </c>
      <c r="O5" s="29">
        <f t="shared" si="13"/>
        <v>2936.4722999999999</v>
      </c>
      <c r="P5" s="29">
        <f t="shared" si="4"/>
        <v>676022.39999999991</v>
      </c>
      <c r="Q5" s="29">
        <f t="shared" si="5"/>
        <v>202806.71999999997</v>
      </c>
      <c r="R5" s="29">
        <f t="shared" si="6"/>
        <v>87490.406753645439</v>
      </c>
      <c r="S5" s="29">
        <f t="shared" si="7"/>
        <v>1841.9033000767463</v>
      </c>
      <c r="T5" s="29">
        <f t="shared" si="14"/>
        <v>968161.430053722</v>
      </c>
      <c r="U5" s="30">
        <f t="shared" si="9"/>
        <v>4034.0059585571748</v>
      </c>
      <c r="V5" s="31">
        <v>4550</v>
      </c>
      <c r="W5" s="32">
        <f t="shared" si="15"/>
        <v>0.12791107567609505</v>
      </c>
      <c r="X5" s="33">
        <f t="shared" si="10"/>
        <v>1092000</v>
      </c>
      <c r="Y5" s="33">
        <f t="shared" si="11"/>
        <v>968161.430053722</v>
      </c>
      <c r="Z5" s="21"/>
      <c r="AA5" s="21"/>
      <c r="AB5" s="21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</row>
    <row r="6" spans="1:1022" ht="15.75" x14ac:dyDescent="0.25">
      <c r="A6" s="23" t="s">
        <v>40</v>
      </c>
      <c r="B6" s="24" t="s">
        <v>41</v>
      </c>
      <c r="C6" s="25" t="s">
        <v>42</v>
      </c>
      <c r="D6" s="26">
        <v>1</v>
      </c>
      <c r="E6" s="26"/>
      <c r="F6" s="26"/>
      <c r="G6" s="26"/>
      <c r="H6" s="26">
        <v>12</v>
      </c>
      <c r="I6" s="26">
        <f t="shared" si="0"/>
        <v>0</v>
      </c>
      <c r="J6" s="27">
        <v>5.94</v>
      </c>
      <c r="K6" s="27">
        <f t="shared" ref="K6" si="16">J6+17/N6</f>
        <v>6.1551898734177222</v>
      </c>
      <c r="L6" s="27">
        <f t="shared" si="1"/>
        <v>0</v>
      </c>
      <c r="M6" s="28">
        <f t="shared" si="2"/>
        <v>0</v>
      </c>
      <c r="N6" s="24">
        <v>79</v>
      </c>
      <c r="O6" s="29">
        <f t="shared" ref="O6" si="17">K6*N6*1.0425</f>
        <v>506.92605000000003</v>
      </c>
      <c r="P6" s="29">
        <f t="shared" si="4"/>
        <v>0</v>
      </c>
      <c r="Q6" s="29">
        <f t="shared" si="5"/>
        <v>0</v>
      </c>
      <c r="R6" s="29">
        <f t="shared" si="6"/>
        <v>0</v>
      </c>
      <c r="S6" s="29">
        <f t="shared" si="7"/>
        <v>0</v>
      </c>
      <c r="T6" s="29">
        <f t="shared" ref="T6" si="18">P6+Q6+R6+S6</f>
        <v>0</v>
      </c>
      <c r="U6" s="30" t="str">
        <f t="shared" si="9"/>
        <v/>
      </c>
      <c r="V6" s="31">
        <v>800</v>
      </c>
      <c r="W6" s="32" t="str">
        <f t="shared" si="15"/>
        <v/>
      </c>
      <c r="X6" s="33">
        <f t="shared" si="10"/>
        <v>0</v>
      </c>
      <c r="Y6" s="33" t="str">
        <f t="shared" si="11"/>
        <v/>
      </c>
      <c r="Z6" s="21"/>
      <c r="AA6" s="21"/>
      <c r="AB6" s="21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  <c r="NG6" s="22"/>
      <c r="NH6" s="22"/>
      <c r="NI6" s="22"/>
      <c r="NJ6" s="22"/>
      <c r="NK6" s="22"/>
      <c r="NL6" s="22"/>
      <c r="NM6" s="22"/>
      <c r="NN6" s="22"/>
      <c r="NO6" s="22"/>
      <c r="NP6" s="22"/>
      <c r="NQ6" s="22"/>
      <c r="NR6" s="22"/>
      <c r="NS6" s="22"/>
      <c r="NT6" s="22"/>
      <c r="NU6" s="22"/>
      <c r="NV6" s="22"/>
      <c r="NW6" s="22"/>
      <c r="NX6" s="22"/>
      <c r="NY6" s="22"/>
      <c r="NZ6" s="22"/>
      <c r="OA6" s="22"/>
      <c r="OB6" s="22"/>
      <c r="OC6" s="22"/>
      <c r="OD6" s="22"/>
      <c r="OE6" s="22"/>
      <c r="OF6" s="22"/>
      <c r="OG6" s="22"/>
      <c r="OH6" s="22"/>
      <c r="OI6" s="22"/>
      <c r="OJ6" s="22"/>
      <c r="OK6" s="22"/>
      <c r="OL6" s="22"/>
      <c r="OM6" s="22"/>
      <c r="ON6" s="22"/>
      <c r="OO6" s="22"/>
      <c r="OP6" s="22"/>
      <c r="OQ6" s="22"/>
      <c r="OR6" s="22"/>
      <c r="OS6" s="22"/>
      <c r="OT6" s="22"/>
      <c r="OU6" s="22"/>
      <c r="OV6" s="22"/>
      <c r="OW6" s="22"/>
      <c r="OX6" s="22"/>
      <c r="OY6" s="22"/>
      <c r="OZ6" s="22"/>
      <c r="PA6" s="22"/>
      <c r="PB6" s="22"/>
      <c r="PC6" s="22"/>
      <c r="PD6" s="22"/>
      <c r="PE6" s="22"/>
      <c r="PF6" s="22"/>
      <c r="PG6" s="22"/>
      <c r="PH6" s="22"/>
      <c r="PI6" s="22"/>
      <c r="PJ6" s="22"/>
      <c r="PK6" s="22"/>
      <c r="PL6" s="22"/>
      <c r="PM6" s="22"/>
      <c r="PN6" s="22"/>
      <c r="PO6" s="22"/>
      <c r="PP6" s="22"/>
      <c r="PQ6" s="22"/>
      <c r="PR6" s="22"/>
      <c r="PS6" s="22"/>
      <c r="PT6" s="22"/>
      <c r="PU6" s="22"/>
      <c r="PV6" s="22"/>
      <c r="PW6" s="22"/>
      <c r="PX6" s="22"/>
      <c r="PY6" s="22"/>
      <c r="PZ6" s="22"/>
      <c r="QA6" s="22"/>
      <c r="QB6" s="22"/>
      <c r="QC6" s="22"/>
      <c r="QD6" s="22"/>
      <c r="QE6" s="22"/>
      <c r="QF6" s="22"/>
      <c r="QG6" s="22"/>
      <c r="QH6" s="22"/>
      <c r="QI6" s="22"/>
      <c r="QJ6" s="22"/>
      <c r="QK6" s="22"/>
      <c r="QL6" s="22"/>
      <c r="QM6" s="22"/>
      <c r="QN6" s="22"/>
      <c r="QO6" s="22"/>
      <c r="QP6" s="22"/>
      <c r="QQ6" s="22"/>
      <c r="QR6" s="22"/>
      <c r="QS6" s="22"/>
      <c r="QT6" s="22"/>
      <c r="QU6" s="22"/>
      <c r="QV6" s="22"/>
      <c r="QW6" s="22"/>
      <c r="QX6" s="22"/>
      <c r="QY6" s="22"/>
      <c r="QZ6" s="22"/>
      <c r="RA6" s="22"/>
      <c r="RB6" s="22"/>
      <c r="RC6" s="22"/>
      <c r="RD6" s="22"/>
      <c r="RE6" s="22"/>
      <c r="RF6" s="22"/>
      <c r="RG6" s="22"/>
      <c r="RH6" s="22"/>
      <c r="RI6" s="22"/>
      <c r="RJ6" s="22"/>
      <c r="RK6" s="22"/>
      <c r="RL6" s="22"/>
      <c r="RM6" s="22"/>
      <c r="RN6" s="22"/>
      <c r="RO6" s="22"/>
      <c r="RP6" s="22"/>
      <c r="RQ6" s="22"/>
      <c r="RR6" s="22"/>
      <c r="RS6" s="22"/>
      <c r="RT6" s="22"/>
      <c r="RU6" s="22"/>
      <c r="RV6" s="22"/>
      <c r="RW6" s="22"/>
      <c r="RX6" s="22"/>
      <c r="RY6" s="22"/>
      <c r="RZ6" s="22"/>
      <c r="SA6" s="22"/>
      <c r="SB6" s="22"/>
      <c r="SC6" s="22"/>
      <c r="SD6" s="22"/>
      <c r="SE6" s="22"/>
      <c r="SF6" s="22"/>
      <c r="SG6" s="22"/>
      <c r="SH6" s="22"/>
      <c r="SI6" s="22"/>
      <c r="SJ6" s="22"/>
      <c r="SK6" s="22"/>
      <c r="SL6" s="22"/>
      <c r="SM6" s="22"/>
      <c r="SN6" s="22"/>
      <c r="SO6" s="22"/>
      <c r="SP6" s="22"/>
      <c r="SQ6" s="22"/>
      <c r="SR6" s="22"/>
      <c r="SS6" s="22"/>
      <c r="ST6" s="22"/>
      <c r="SU6" s="22"/>
      <c r="SV6" s="22"/>
      <c r="SW6" s="22"/>
      <c r="SX6" s="22"/>
      <c r="SY6" s="22"/>
      <c r="SZ6" s="22"/>
      <c r="TA6" s="22"/>
      <c r="TB6" s="22"/>
      <c r="TC6" s="22"/>
      <c r="TD6" s="22"/>
      <c r="TE6" s="22"/>
      <c r="TF6" s="22"/>
      <c r="TG6" s="22"/>
      <c r="TH6" s="22"/>
      <c r="TI6" s="22"/>
      <c r="TJ6" s="22"/>
      <c r="TK6" s="22"/>
      <c r="TL6" s="22"/>
      <c r="TM6" s="22"/>
      <c r="TN6" s="22"/>
      <c r="TO6" s="22"/>
      <c r="TP6" s="22"/>
      <c r="TQ6" s="22"/>
      <c r="TR6" s="22"/>
      <c r="TS6" s="22"/>
      <c r="TT6" s="22"/>
      <c r="TU6" s="22"/>
      <c r="TV6" s="22"/>
      <c r="TW6" s="22"/>
      <c r="TX6" s="22"/>
      <c r="TY6" s="22"/>
      <c r="TZ6" s="22"/>
      <c r="UA6" s="22"/>
      <c r="UB6" s="22"/>
      <c r="UC6" s="22"/>
      <c r="UD6" s="22"/>
      <c r="UE6" s="22"/>
      <c r="UF6" s="22"/>
      <c r="UG6" s="22"/>
      <c r="UH6" s="22"/>
      <c r="UI6" s="22"/>
      <c r="UJ6" s="22"/>
      <c r="UK6" s="22"/>
      <c r="UL6" s="22"/>
      <c r="UM6" s="22"/>
      <c r="UN6" s="22"/>
      <c r="UO6" s="22"/>
      <c r="UP6" s="22"/>
      <c r="UQ6" s="22"/>
      <c r="UR6" s="22"/>
      <c r="US6" s="22"/>
      <c r="UT6" s="22"/>
      <c r="UU6" s="22"/>
      <c r="UV6" s="22"/>
      <c r="UW6" s="22"/>
      <c r="UX6" s="22"/>
      <c r="UY6" s="22"/>
      <c r="UZ6" s="22"/>
      <c r="VA6" s="22"/>
      <c r="VB6" s="22"/>
      <c r="VC6" s="22"/>
      <c r="VD6" s="22"/>
      <c r="VE6" s="22"/>
      <c r="VF6" s="22"/>
      <c r="VG6" s="22"/>
      <c r="VH6" s="22"/>
      <c r="VI6" s="22"/>
      <c r="VJ6" s="22"/>
      <c r="VK6" s="22"/>
      <c r="VL6" s="22"/>
      <c r="VM6" s="22"/>
      <c r="VN6" s="22"/>
      <c r="VO6" s="22"/>
      <c r="VP6" s="22"/>
      <c r="VQ6" s="22"/>
      <c r="VR6" s="22"/>
      <c r="VS6" s="22"/>
      <c r="VT6" s="22"/>
      <c r="VU6" s="22"/>
      <c r="VV6" s="22"/>
      <c r="VW6" s="22"/>
      <c r="VX6" s="22"/>
      <c r="VY6" s="22"/>
      <c r="VZ6" s="22"/>
      <c r="WA6" s="22"/>
      <c r="WB6" s="22"/>
      <c r="WC6" s="22"/>
      <c r="WD6" s="22"/>
      <c r="WE6" s="22"/>
      <c r="WF6" s="22"/>
      <c r="WG6" s="22"/>
      <c r="WH6" s="22"/>
      <c r="WI6" s="22"/>
      <c r="WJ6" s="22"/>
      <c r="WK6" s="22"/>
      <c r="WL6" s="22"/>
      <c r="WM6" s="22"/>
      <c r="WN6" s="22"/>
      <c r="WO6" s="22"/>
      <c r="WP6" s="22"/>
      <c r="WQ6" s="22"/>
      <c r="WR6" s="22"/>
      <c r="WS6" s="22"/>
      <c r="WT6" s="22"/>
      <c r="WU6" s="22"/>
      <c r="WV6" s="22"/>
      <c r="WW6" s="22"/>
      <c r="WX6" s="22"/>
      <c r="WY6" s="22"/>
      <c r="WZ6" s="22"/>
      <c r="XA6" s="22"/>
      <c r="XB6" s="22"/>
      <c r="XC6" s="22"/>
      <c r="XD6" s="22"/>
      <c r="XE6" s="22"/>
      <c r="XF6" s="22"/>
      <c r="XG6" s="22"/>
      <c r="XH6" s="22"/>
      <c r="XI6" s="22"/>
      <c r="XJ6" s="22"/>
      <c r="XK6" s="22"/>
      <c r="XL6" s="22"/>
      <c r="XM6" s="22"/>
      <c r="XN6" s="22"/>
      <c r="XO6" s="22"/>
      <c r="XP6" s="22"/>
      <c r="XQ6" s="22"/>
      <c r="XR6" s="22"/>
      <c r="XS6" s="22"/>
      <c r="XT6" s="22"/>
      <c r="XU6" s="22"/>
      <c r="XV6" s="22"/>
      <c r="XW6" s="22"/>
      <c r="XX6" s="22"/>
      <c r="XY6" s="22"/>
      <c r="XZ6" s="22"/>
      <c r="YA6" s="22"/>
      <c r="YB6" s="22"/>
      <c r="YC6" s="22"/>
      <c r="YD6" s="22"/>
      <c r="YE6" s="22"/>
      <c r="YF6" s="22"/>
      <c r="YG6" s="22"/>
      <c r="YH6" s="22"/>
      <c r="YI6" s="22"/>
      <c r="YJ6" s="22"/>
      <c r="YK6" s="22"/>
      <c r="YL6" s="22"/>
      <c r="YM6" s="22"/>
      <c r="YN6" s="22"/>
      <c r="YO6" s="22"/>
      <c r="YP6" s="22"/>
      <c r="YQ6" s="22"/>
      <c r="YR6" s="22"/>
      <c r="YS6" s="22"/>
      <c r="YT6" s="22"/>
      <c r="YU6" s="22"/>
      <c r="YV6" s="22"/>
      <c r="YW6" s="22"/>
      <c r="YX6" s="22"/>
      <c r="YY6" s="22"/>
      <c r="YZ6" s="22"/>
      <c r="ZA6" s="22"/>
      <c r="ZB6" s="22"/>
      <c r="ZC6" s="22"/>
      <c r="ZD6" s="22"/>
      <c r="ZE6" s="22"/>
      <c r="ZF6" s="22"/>
      <c r="ZG6" s="22"/>
      <c r="ZH6" s="22"/>
      <c r="ZI6" s="22"/>
      <c r="ZJ6" s="22"/>
      <c r="ZK6" s="22"/>
      <c r="ZL6" s="22"/>
      <c r="ZM6" s="22"/>
      <c r="ZN6" s="22"/>
      <c r="ZO6" s="22"/>
      <c r="ZP6" s="22"/>
      <c r="ZQ6" s="22"/>
      <c r="ZR6" s="22"/>
      <c r="ZS6" s="22"/>
      <c r="ZT6" s="22"/>
      <c r="ZU6" s="22"/>
      <c r="ZV6" s="22"/>
      <c r="ZW6" s="22"/>
      <c r="ZX6" s="22"/>
      <c r="ZY6" s="22"/>
      <c r="ZZ6" s="22"/>
      <c r="AAA6" s="22"/>
      <c r="AAB6" s="22"/>
      <c r="AAC6" s="22"/>
      <c r="AAD6" s="22"/>
      <c r="AAE6" s="22"/>
      <c r="AAF6" s="22"/>
      <c r="AAG6" s="22"/>
      <c r="AAH6" s="22"/>
      <c r="AAI6" s="22"/>
      <c r="AAJ6" s="22"/>
      <c r="AAK6" s="22"/>
      <c r="AAL6" s="22"/>
      <c r="AAM6" s="22"/>
      <c r="AAN6" s="22"/>
      <c r="AAO6" s="22"/>
      <c r="AAP6" s="22"/>
      <c r="AAQ6" s="22"/>
      <c r="AAR6" s="22"/>
      <c r="AAS6" s="22"/>
      <c r="AAT6" s="22"/>
      <c r="AAU6" s="22"/>
      <c r="AAV6" s="22"/>
      <c r="AAW6" s="22"/>
      <c r="AAX6" s="22"/>
      <c r="AAY6" s="22"/>
      <c r="AAZ6" s="22"/>
      <c r="ABA6" s="22"/>
      <c r="ABB6" s="22"/>
      <c r="ABC6" s="22"/>
      <c r="ABD6" s="22"/>
      <c r="ABE6" s="22"/>
      <c r="ABF6" s="22"/>
      <c r="ABG6" s="22"/>
      <c r="ABH6" s="22"/>
      <c r="ABI6" s="22"/>
      <c r="ABJ6" s="22"/>
      <c r="ABK6" s="22"/>
      <c r="ABL6" s="22"/>
      <c r="ABM6" s="22"/>
      <c r="ABN6" s="22"/>
      <c r="ABO6" s="22"/>
      <c r="ABP6" s="22"/>
      <c r="ABQ6" s="22"/>
      <c r="ABR6" s="22"/>
      <c r="ABS6" s="22"/>
      <c r="ABT6" s="22"/>
      <c r="ABU6" s="22"/>
      <c r="ABV6" s="22"/>
      <c r="ABW6" s="22"/>
      <c r="ABX6" s="22"/>
      <c r="ABY6" s="22"/>
      <c r="ABZ6" s="22"/>
      <c r="ACA6" s="22"/>
      <c r="ACB6" s="22"/>
      <c r="ACC6" s="22"/>
      <c r="ACD6" s="22"/>
      <c r="ACE6" s="22"/>
      <c r="ACF6" s="22"/>
      <c r="ACG6" s="22"/>
      <c r="ACH6" s="22"/>
      <c r="ACI6" s="22"/>
      <c r="ACJ6" s="22"/>
      <c r="ACK6" s="22"/>
      <c r="ACL6" s="22"/>
      <c r="ACM6" s="22"/>
      <c r="ACN6" s="22"/>
      <c r="ACO6" s="22"/>
      <c r="ACP6" s="22"/>
      <c r="ACQ6" s="22"/>
      <c r="ACR6" s="22"/>
      <c r="ACS6" s="22"/>
      <c r="ACT6" s="22"/>
      <c r="ACU6" s="22"/>
      <c r="ACV6" s="22"/>
      <c r="ACW6" s="22"/>
      <c r="ACX6" s="22"/>
      <c r="ACY6" s="22"/>
      <c r="ACZ6" s="22"/>
      <c r="ADA6" s="22"/>
      <c r="ADB6" s="22"/>
      <c r="ADC6" s="22"/>
      <c r="ADD6" s="22"/>
      <c r="ADE6" s="22"/>
      <c r="ADF6" s="22"/>
      <c r="ADG6" s="22"/>
      <c r="ADH6" s="22"/>
      <c r="ADI6" s="22"/>
      <c r="ADJ6" s="22"/>
      <c r="ADK6" s="22"/>
      <c r="ADL6" s="22"/>
      <c r="ADM6" s="22"/>
      <c r="ADN6" s="22"/>
      <c r="ADO6" s="22"/>
      <c r="ADP6" s="22"/>
      <c r="ADQ6" s="22"/>
      <c r="ADR6" s="22"/>
      <c r="ADS6" s="22"/>
      <c r="ADT6" s="22"/>
      <c r="ADU6" s="22"/>
      <c r="ADV6" s="22"/>
      <c r="ADW6" s="22"/>
      <c r="ADX6" s="22"/>
      <c r="ADY6" s="22"/>
      <c r="ADZ6" s="22"/>
      <c r="AEA6" s="22"/>
      <c r="AEB6" s="22"/>
      <c r="AEC6" s="22"/>
      <c r="AED6" s="22"/>
      <c r="AEE6" s="22"/>
      <c r="AEF6" s="22"/>
      <c r="AEG6" s="22"/>
      <c r="AEH6" s="22"/>
      <c r="AEI6" s="22"/>
      <c r="AEJ6" s="22"/>
      <c r="AEK6" s="22"/>
      <c r="AEL6" s="22"/>
      <c r="AEM6" s="22"/>
      <c r="AEN6" s="22"/>
      <c r="AEO6" s="22"/>
      <c r="AEP6" s="22"/>
      <c r="AEQ6" s="22"/>
      <c r="AER6" s="22"/>
      <c r="AES6" s="22"/>
      <c r="AET6" s="22"/>
      <c r="AEU6" s="22"/>
      <c r="AEV6" s="22"/>
      <c r="AEW6" s="22"/>
      <c r="AEX6" s="22"/>
      <c r="AEY6" s="22"/>
      <c r="AEZ6" s="22"/>
      <c r="AFA6" s="22"/>
      <c r="AFB6" s="22"/>
      <c r="AFC6" s="22"/>
      <c r="AFD6" s="22"/>
      <c r="AFE6" s="22"/>
      <c r="AFF6" s="22"/>
      <c r="AFG6" s="22"/>
      <c r="AFH6" s="22"/>
      <c r="AFI6" s="22"/>
      <c r="AFJ6" s="22"/>
      <c r="AFK6" s="22"/>
      <c r="AFL6" s="22"/>
      <c r="AFM6" s="22"/>
      <c r="AFN6" s="22"/>
      <c r="AFO6" s="22"/>
      <c r="AFP6" s="22"/>
      <c r="AFQ6" s="22"/>
      <c r="AFR6" s="22"/>
      <c r="AFS6" s="22"/>
      <c r="AFT6" s="22"/>
      <c r="AFU6" s="22"/>
      <c r="AFV6" s="22"/>
      <c r="AFW6" s="22"/>
      <c r="AFX6" s="22"/>
      <c r="AFY6" s="22"/>
      <c r="AFZ6" s="22"/>
      <c r="AGA6" s="22"/>
      <c r="AGB6" s="22"/>
      <c r="AGC6" s="22"/>
      <c r="AGD6" s="22"/>
      <c r="AGE6" s="22"/>
      <c r="AGF6" s="22"/>
      <c r="AGG6" s="22"/>
      <c r="AGH6" s="22"/>
      <c r="AGI6" s="22"/>
      <c r="AGJ6" s="22"/>
      <c r="AGK6" s="22"/>
      <c r="AGL6" s="22"/>
      <c r="AGM6" s="22"/>
      <c r="AGN6" s="22"/>
      <c r="AGO6" s="22"/>
      <c r="AGP6" s="22"/>
      <c r="AGQ6" s="22"/>
      <c r="AGR6" s="22"/>
      <c r="AGS6" s="22"/>
      <c r="AGT6" s="22"/>
      <c r="AGU6" s="22"/>
      <c r="AGV6" s="22"/>
      <c r="AGW6" s="22"/>
      <c r="AGX6" s="22"/>
      <c r="AGY6" s="22"/>
      <c r="AGZ6" s="22"/>
      <c r="AHA6" s="22"/>
      <c r="AHB6" s="22"/>
      <c r="AHC6" s="22"/>
      <c r="AHD6" s="22"/>
      <c r="AHE6" s="22"/>
      <c r="AHF6" s="22"/>
      <c r="AHG6" s="22"/>
      <c r="AHH6" s="22"/>
      <c r="AHI6" s="22"/>
      <c r="AHJ6" s="22"/>
      <c r="AHK6" s="22"/>
      <c r="AHL6" s="22"/>
      <c r="AHM6" s="22"/>
      <c r="AHN6" s="22"/>
      <c r="AHO6" s="22"/>
      <c r="AHP6" s="22"/>
      <c r="AHQ6" s="22"/>
      <c r="AHR6" s="22"/>
      <c r="AHS6" s="22"/>
      <c r="AHT6" s="22"/>
      <c r="AHU6" s="22"/>
      <c r="AHV6" s="22"/>
      <c r="AHW6" s="22"/>
      <c r="AHX6" s="22"/>
      <c r="AHY6" s="22"/>
      <c r="AHZ6" s="22"/>
      <c r="AIA6" s="22"/>
      <c r="AIB6" s="22"/>
      <c r="AIC6" s="22"/>
      <c r="AID6" s="22"/>
      <c r="AIE6" s="22"/>
      <c r="AIF6" s="22"/>
      <c r="AIG6" s="22"/>
      <c r="AIH6" s="22"/>
      <c r="AII6" s="22"/>
      <c r="AIJ6" s="22"/>
      <c r="AIK6" s="22"/>
      <c r="AIL6" s="22"/>
      <c r="AIM6" s="22"/>
      <c r="AIN6" s="22"/>
      <c r="AIO6" s="22"/>
      <c r="AIP6" s="22"/>
      <c r="AIQ6" s="22"/>
      <c r="AIR6" s="22"/>
      <c r="AIS6" s="22"/>
      <c r="AIT6" s="22"/>
      <c r="AIU6" s="22"/>
      <c r="AIV6" s="22"/>
      <c r="AIW6" s="22"/>
      <c r="AIX6" s="22"/>
      <c r="AIY6" s="22"/>
      <c r="AIZ6" s="22"/>
      <c r="AJA6" s="22"/>
      <c r="AJB6" s="22"/>
      <c r="AJC6" s="22"/>
      <c r="AJD6" s="22"/>
      <c r="AJE6" s="22"/>
      <c r="AJF6" s="22"/>
      <c r="AJG6" s="22"/>
      <c r="AJH6" s="22"/>
      <c r="AJI6" s="22"/>
      <c r="AJJ6" s="22"/>
      <c r="AJK6" s="22"/>
      <c r="AJL6" s="22"/>
      <c r="AJM6" s="22"/>
      <c r="AJN6" s="22"/>
      <c r="AJO6" s="22"/>
      <c r="AJP6" s="22"/>
      <c r="AJQ6" s="22"/>
      <c r="AJR6" s="22"/>
      <c r="AJS6" s="22"/>
      <c r="AJT6" s="22"/>
      <c r="AJU6" s="22"/>
      <c r="AJV6" s="22"/>
      <c r="AJW6" s="22"/>
      <c r="AJX6" s="22"/>
      <c r="AJY6" s="22"/>
      <c r="AJZ6" s="22"/>
      <c r="AKA6" s="22"/>
      <c r="AKB6" s="22"/>
      <c r="AKC6" s="22"/>
      <c r="AKD6" s="22"/>
      <c r="AKE6" s="22"/>
      <c r="AKF6" s="22"/>
      <c r="AKG6" s="22"/>
      <c r="AKH6" s="22"/>
      <c r="AKI6" s="22"/>
      <c r="AKJ6" s="22"/>
      <c r="AKK6" s="22"/>
      <c r="AKL6" s="22"/>
      <c r="AKM6" s="22"/>
      <c r="AKN6" s="22"/>
      <c r="AKO6" s="22"/>
      <c r="AKP6" s="22"/>
      <c r="AKQ6" s="22"/>
      <c r="AKR6" s="22"/>
      <c r="AKS6" s="22"/>
      <c r="AKT6" s="22"/>
      <c r="AKU6" s="22"/>
      <c r="AKV6" s="22"/>
      <c r="AKW6" s="22"/>
      <c r="AKX6" s="22"/>
      <c r="AKY6" s="22"/>
      <c r="AKZ6" s="22"/>
      <c r="ALA6" s="22"/>
      <c r="ALB6" s="22"/>
      <c r="ALC6" s="22"/>
      <c r="ALD6" s="22"/>
      <c r="ALE6" s="22"/>
      <c r="ALF6" s="22"/>
      <c r="ALG6" s="22"/>
      <c r="ALH6" s="22"/>
      <c r="ALI6" s="22"/>
      <c r="ALJ6" s="22"/>
      <c r="ALK6" s="22"/>
      <c r="ALL6" s="22"/>
      <c r="ALM6" s="22"/>
      <c r="ALN6" s="22"/>
      <c r="ALO6" s="22"/>
      <c r="ALP6" s="22"/>
      <c r="ALQ6" s="22"/>
      <c r="ALR6" s="22"/>
      <c r="ALS6" s="22"/>
      <c r="ALT6" s="22"/>
      <c r="ALU6" s="22"/>
      <c r="ALV6" s="22"/>
      <c r="ALW6" s="22"/>
      <c r="ALX6" s="22"/>
      <c r="ALY6" s="22"/>
      <c r="ALZ6" s="22"/>
      <c r="AMA6" s="22"/>
      <c r="AMB6" s="22"/>
      <c r="AMC6" s="22"/>
      <c r="AMD6" s="22"/>
      <c r="AME6" s="22"/>
      <c r="AMF6" s="22"/>
      <c r="AMG6" s="22"/>
      <c r="AMH6" s="22"/>
    </row>
    <row r="7" spans="1:1022" ht="15.75" x14ac:dyDescent="0.25">
      <c r="A7" s="23" t="s">
        <v>30</v>
      </c>
      <c r="B7" s="24" t="s">
        <v>43</v>
      </c>
      <c r="C7" s="25" t="s">
        <v>32</v>
      </c>
      <c r="D7" s="26">
        <v>4</v>
      </c>
      <c r="E7" s="26">
        <v>1142</v>
      </c>
      <c r="F7" s="26"/>
      <c r="G7" s="26"/>
      <c r="H7" s="26">
        <v>4</v>
      </c>
      <c r="I7" s="26">
        <f t="shared" si="0"/>
        <v>285.5</v>
      </c>
      <c r="J7" s="27">
        <v>23</v>
      </c>
      <c r="K7" s="27">
        <f t="shared" ref="K7" si="19">J7+17/N7</f>
        <v>23.215189873417721</v>
      </c>
      <c r="L7" s="27">
        <f t="shared" si="1"/>
        <v>26511.746835443038</v>
      </c>
      <c r="M7" s="28">
        <f t="shared" si="2"/>
        <v>4430.96</v>
      </c>
      <c r="N7" s="24">
        <v>79</v>
      </c>
      <c r="O7" s="29">
        <f t="shared" ref="O7" si="20">K7*N7*1.0425</f>
        <v>1911.9449999999999</v>
      </c>
      <c r="P7" s="29">
        <f t="shared" si="4"/>
        <v>2094428</v>
      </c>
      <c r="Q7" s="29">
        <f t="shared" si="5"/>
        <v>628328.4</v>
      </c>
      <c r="R7" s="29">
        <f t="shared" si="6"/>
        <v>333046.81504221034</v>
      </c>
      <c r="S7" s="29">
        <f t="shared" si="7"/>
        <v>7011.511895625481</v>
      </c>
      <c r="T7" s="29">
        <f t="shared" ref="T7" si="21">P7+Q7+R7+S7</f>
        <v>3062814.7269378356</v>
      </c>
      <c r="U7" s="30">
        <f t="shared" si="9"/>
        <v>2681.9743668457404</v>
      </c>
      <c r="V7" s="31">
        <v>4350</v>
      </c>
      <c r="W7" s="32">
        <f t="shared" si="15"/>
        <v>0.62193943900963455</v>
      </c>
      <c r="X7" s="33">
        <f t="shared" si="10"/>
        <v>4967700</v>
      </c>
      <c r="Y7" s="33">
        <f t="shared" si="11"/>
        <v>3062814.7269378356</v>
      </c>
      <c r="Z7" s="21"/>
      <c r="AA7" s="21"/>
      <c r="AB7" s="21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  <c r="LQ7" s="22"/>
      <c r="LR7" s="22"/>
      <c r="LS7" s="22"/>
      <c r="LT7" s="22"/>
      <c r="LU7" s="22"/>
      <c r="LV7" s="22"/>
      <c r="LW7" s="22"/>
      <c r="LX7" s="22"/>
      <c r="LY7" s="22"/>
      <c r="LZ7" s="22"/>
      <c r="MA7" s="22"/>
      <c r="MB7" s="22"/>
      <c r="MC7" s="22"/>
      <c r="MD7" s="22"/>
      <c r="ME7" s="22"/>
      <c r="MF7" s="22"/>
      <c r="MG7" s="22"/>
      <c r="MH7" s="22"/>
      <c r="MI7" s="22"/>
      <c r="MJ7" s="22"/>
      <c r="MK7" s="22"/>
      <c r="ML7" s="22"/>
      <c r="MM7" s="22"/>
      <c r="MN7" s="22"/>
      <c r="MO7" s="22"/>
      <c r="MP7" s="22"/>
      <c r="MQ7" s="22"/>
      <c r="MR7" s="22"/>
      <c r="MS7" s="22"/>
      <c r="MT7" s="22"/>
      <c r="MU7" s="22"/>
      <c r="MV7" s="22"/>
      <c r="MW7" s="22"/>
      <c r="MX7" s="22"/>
      <c r="MY7" s="22"/>
      <c r="MZ7" s="22"/>
      <c r="NA7" s="22"/>
      <c r="NB7" s="22"/>
      <c r="NC7" s="22"/>
      <c r="ND7" s="22"/>
      <c r="NE7" s="22"/>
      <c r="NF7" s="22"/>
      <c r="NG7" s="22"/>
      <c r="NH7" s="22"/>
      <c r="NI7" s="22"/>
      <c r="NJ7" s="22"/>
      <c r="NK7" s="22"/>
      <c r="NL7" s="22"/>
      <c r="NM7" s="22"/>
      <c r="NN7" s="22"/>
      <c r="NO7" s="22"/>
      <c r="NP7" s="22"/>
      <c r="NQ7" s="22"/>
      <c r="NR7" s="22"/>
      <c r="NS7" s="22"/>
      <c r="NT7" s="22"/>
      <c r="NU7" s="22"/>
      <c r="NV7" s="22"/>
      <c r="NW7" s="22"/>
      <c r="NX7" s="22"/>
      <c r="NY7" s="22"/>
      <c r="NZ7" s="22"/>
      <c r="OA7" s="22"/>
      <c r="OB7" s="22"/>
      <c r="OC7" s="22"/>
      <c r="OD7" s="22"/>
      <c r="OE7" s="22"/>
      <c r="OF7" s="22"/>
      <c r="OG7" s="22"/>
      <c r="OH7" s="22"/>
      <c r="OI7" s="22"/>
      <c r="OJ7" s="22"/>
      <c r="OK7" s="22"/>
      <c r="OL7" s="22"/>
      <c r="OM7" s="22"/>
      <c r="ON7" s="22"/>
      <c r="OO7" s="22"/>
      <c r="OP7" s="22"/>
      <c r="OQ7" s="22"/>
      <c r="OR7" s="22"/>
      <c r="OS7" s="22"/>
      <c r="OT7" s="22"/>
      <c r="OU7" s="22"/>
      <c r="OV7" s="22"/>
      <c r="OW7" s="22"/>
      <c r="OX7" s="22"/>
      <c r="OY7" s="22"/>
      <c r="OZ7" s="22"/>
      <c r="PA7" s="22"/>
      <c r="PB7" s="22"/>
      <c r="PC7" s="22"/>
      <c r="PD7" s="22"/>
      <c r="PE7" s="22"/>
      <c r="PF7" s="22"/>
      <c r="PG7" s="22"/>
      <c r="PH7" s="22"/>
      <c r="PI7" s="22"/>
      <c r="PJ7" s="22"/>
      <c r="PK7" s="22"/>
      <c r="PL7" s="22"/>
      <c r="PM7" s="22"/>
      <c r="PN7" s="22"/>
      <c r="PO7" s="22"/>
      <c r="PP7" s="22"/>
      <c r="PQ7" s="22"/>
      <c r="PR7" s="22"/>
      <c r="PS7" s="22"/>
      <c r="PT7" s="22"/>
      <c r="PU7" s="22"/>
      <c r="PV7" s="22"/>
      <c r="PW7" s="22"/>
      <c r="PX7" s="22"/>
      <c r="PY7" s="22"/>
      <c r="PZ7" s="22"/>
      <c r="QA7" s="22"/>
      <c r="QB7" s="22"/>
      <c r="QC7" s="22"/>
      <c r="QD7" s="22"/>
      <c r="QE7" s="22"/>
      <c r="QF7" s="22"/>
      <c r="QG7" s="22"/>
      <c r="QH7" s="22"/>
      <c r="QI7" s="22"/>
      <c r="QJ7" s="22"/>
      <c r="QK7" s="22"/>
      <c r="QL7" s="22"/>
      <c r="QM7" s="22"/>
      <c r="QN7" s="22"/>
      <c r="QO7" s="22"/>
      <c r="QP7" s="22"/>
      <c r="QQ7" s="22"/>
      <c r="QR7" s="22"/>
      <c r="QS7" s="22"/>
      <c r="QT7" s="22"/>
      <c r="QU7" s="22"/>
      <c r="QV7" s="22"/>
      <c r="QW7" s="22"/>
      <c r="QX7" s="22"/>
      <c r="QY7" s="22"/>
      <c r="QZ7" s="22"/>
      <c r="RA7" s="22"/>
      <c r="RB7" s="22"/>
      <c r="RC7" s="22"/>
      <c r="RD7" s="22"/>
      <c r="RE7" s="22"/>
      <c r="RF7" s="22"/>
      <c r="RG7" s="22"/>
      <c r="RH7" s="22"/>
      <c r="RI7" s="22"/>
      <c r="RJ7" s="22"/>
      <c r="RK7" s="22"/>
      <c r="RL7" s="22"/>
      <c r="RM7" s="22"/>
      <c r="RN7" s="22"/>
      <c r="RO7" s="22"/>
      <c r="RP7" s="22"/>
      <c r="RQ7" s="22"/>
      <c r="RR7" s="22"/>
      <c r="RS7" s="22"/>
      <c r="RT7" s="22"/>
      <c r="RU7" s="22"/>
      <c r="RV7" s="22"/>
      <c r="RW7" s="22"/>
      <c r="RX7" s="22"/>
      <c r="RY7" s="22"/>
      <c r="RZ7" s="22"/>
      <c r="SA7" s="22"/>
      <c r="SB7" s="22"/>
      <c r="SC7" s="22"/>
      <c r="SD7" s="22"/>
      <c r="SE7" s="22"/>
      <c r="SF7" s="22"/>
      <c r="SG7" s="22"/>
      <c r="SH7" s="22"/>
      <c r="SI7" s="22"/>
      <c r="SJ7" s="22"/>
      <c r="SK7" s="22"/>
      <c r="SL7" s="22"/>
      <c r="SM7" s="22"/>
      <c r="SN7" s="22"/>
      <c r="SO7" s="22"/>
      <c r="SP7" s="22"/>
      <c r="SQ7" s="22"/>
      <c r="SR7" s="22"/>
      <c r="SS7" s="22"/>
      <c r="ST7" s="22"/>
      <c r="SU7" s="22"/>
      <c r="SV7" s="22"/>
      <c r="SW7" s="22"/>
      <c r="SX7" s="22"/>
      <c r="SY7" s="22"/>
      <c r="SZ7" s="22"/>
      <c r="TA7" s="22"/>
      <c r="TB7" s="22"/>
      <c r="TC7" s="22"/>
      <c r="TD7" s="22"/>
      <c r="TE7" s="22"/>
      <c r="TF7" s="22"/>
      <c r="TG7" s="22"/>
      <c r="TH7" s="22"/>
      <c r="TI7" s="22"/>
      <c r="TJ7" s="22"/>
      <c r="TK7" s="22"/>
      <c r="TL7" s="22"/>
      <c r="TM7" s="22"/>
      <c r="TN7" s="22"/>
      <c r="TO7" s="22"/>
      <c r="TP7" s="22"/>
      <c r="TQ7" s="22"/>
      <c r="TR7" s="22"/>
      <c r="TS7" s="22"/>
      <c r="TT7" s="22"/>
      <c r="TU7" s="22"/>
      <c r="TV7" s="22"/>
      <c r="TW7" s="22"/>
      <c r="TX7" s="22"/>
      <c r="TY7" s="22"/>
      <c r="TZ7" s="22"/>
      <c r="UA7" s="22"/>
      <c r="UB7" s="22"/>
      <c r="UC7" s="22"/>
      <c r="UD7" s="22"/>
      <c r="UE7" s="22"/>
      <c r="UF7" s="22"/>
      <c r="UG7" s="22"/>
      <c r="UH7" s="22"/>
      <c r="UI7" s="22"/>
      <c r="UJ7" s="22"/>
      <c r="UK7" s="22"/>
      <c r="UL7" s="22"/>
      <c r="UM7" s="22"/>
      <c r="UN7" s="22"/>
      <c r="UO7" s="22"/>
      <c r="UP7" s="22"/>
      <c r="UQ7" s="22"/>
      <c r="UR7" s="22"/>
      <c r="US7" s="22"/>
      <c r="UT7" s="22"/>
      <c r="UU7" s="22"/>
      <c r="UV7" s="22"/>
      <c r="UW7" s="22"/>
      <c r="UX7" s="22"/>
      <c r="UY7" s="22"/>
      <c r="UZ7" s="22"/>
      <c r="VA7" s="22"/>
      <c r="VB7" s="22"/>
      <c r="VC7" s="22"/>
      <c r="VD7" s="22"/>
      <c r="VE7" s="22"/>
      <c r="VF7" s="22"/>
      <c r="VG7" s="22"/>
      <c r="VH7" s="22"/>
      <c r="VI7" s="22"/>
      <c r="VJ7" s="22"/>
      <c r="VK7" s="22"/>
      <c r="VL7" s="22"/>
      <c r="VM7" s="22"/>
      <c r="VN7" s="22"/>
      <c r="VO7" s="22"/>
      <c r="VP7" s="22"/>
      <c r="VQ7" s="22"/>
      <c r="VR7" s="22"/>
      <c r="VS7" s="22"/>
      <c r="VT7" s="22"/>
      <c r="VU7" s="22"/>
      <c r="VV7" s="22"/>
      <c r="VW7" s="22"/>
      <c r="VX7" s="22"/>
      <c r="VY7" s="22"/>
      <c r="VZ7" s="22"/>
      <c r="WA7" s="22"/>
      <c r="WB7" s="22"/>
      <c r="WC7" s="22"/>
      <c r="WD7" s="22"/>
      <c r="WE7" s="22"/>
      <c r="WF7" s="22"/>
      <c r="WG7" s="22"/>
      <c r="WH7" s="22"/>
      <c r="WI7" s="22"/>
      <c r="WJ7" s="22"/>
      <c r="WK7" s="22"/>
      <c r="WL7" s="22"/>
      <c r="WM7" s="22"/>
      <c r="WN7" s="22"/>
      <c r="WO7" s="22"/>
      <c r="WP7" s="22"/>
      <c r="WQ7" s="22"/>
      <c r="WR7" s="22"/>
      <c r="WS7" s="22"/>
      <c r="WT7" s="22"/>
      <c r="WU7" s="22"/>
      <c r="WV7" s="22"/>
      <c r="WW7" s="22"/>
      <c r="WX7" s="22"/>
      <c r="WY7" s="22"/>
      <c r="WZ7" s="22"/>
      <c r="XA7" s="22"/>
      <c r="XB7" s="22"/>
      <c r="XC7" s="22"/>
      <c r="XD7" s="22"/>
      <c r="XE7" s="22"/>
      <c r="XF7" s="22"/>
      <c r="XG7" s="22"/>
      <c r="XH7" s="22"/>
      <c r="XI7" s="22"/>
      <c r="XJ7" s="22"/>
      <c r="XK7" s="22"/>
      <c r="XL7" s="22"/>
      <c r="XM7" s="22"/>
      <c r="XN7" s="22"/>
      <c r="XO7" s="22"/>
      <c r="XP7" s="22"/>
      <c r="XQ7" s="22"/>
      <c r="XR7" s="22"/>
      <c r="XS7" s="22"/>
      <c r="XT7" s="22"/>
      <c r="XU7" s="22"/>
      <c r="XV7" s="22"/>
      <c r="XW7" s="22"/>
      <c r="XX7" s="22"/>
      <c r="XY7" s="22"/>
      <c r="XZ7" s="22"/>
      <c r="YA7" s="22"/>
      <c r="YB7" s="22"/>
      <c r="YC7" s="22"/>
      <c r="YD7" s="22"/>
      <c r="YE7" s="22"/>
      <c r="YF7" s="22"/>
      <c r="YG7" s="22"/>
      <c r="YH7" s="22"/>
      <c r="YI7" s="22"/>
      <c r="YJ7" s="22"/>
      <c r="YK7" s="22"/>
      <c r="YL7" s="22"/>
      <c r="YM7" s="22"/>
      <c r="YN7" s="22"/>
      <c r="YO7" s="22"/>
      <c r="YP7" s="22"/>
      <c r="YQ7" s="22"/>
      <c r="YR7" s="22"/>
      <c r="YS7" s="22"/>
      <c r="YT7" s="22"/>
      <c r="YU7" s="22"/>
      <c r="YV7" s="22"/>
      <c r="YW7" s="22"/>
      <c r="YX7" s="22"/>
      <c r="YY7" s="22"/>
      <c r="YZ7" s="22"/>
      <c r="ZA7" s="22"/>
      <c r="ZB7" s="22"/>
      <c r="ZC7" s="22"/>
      <c r="ZD7" s="22"/>
      <c r="ZE7" s="22"/>
      <c r="ZF7" s="22"/>
      <c r="ZG7" s="22"/>
      <c r="ZH7" s="22"/>
      <c r="ZI7" s="22"/>
      <c r="ZJ7" s="22"/>
      <c r="ZK7" s="22"/>
      <c r="ZL7" s="22"/>
      <c r="ZM7" s="22"/>
      <c r="ZN7" s="22"/>
      <c r="ZO7" s="22"/>
      <c r="ZP7" s="22"/>
      <c r="ZQ7" s="22"/>
      <c r="ZR7" s="22"/>
      <c r="ZS7" s="22"/>
      <c r="ZT7" s="22"/>
      <c r="ZU7" s="22"/>
      <c r="ZV7" s="22"/>
      <c r="ZW7" s="22"/>
      <c r="ZX7" s="22"/>
      <c r="ZY7" s="22"/>
      <c r="ZZ7" s="22"/>
      <c r="AAA7" s="22"/>
      <c r="AAB7" s="22"/>
      <c r="AAC7" s="22"/>
      <c r="AAD7" s="22"/>
      <c r="AAE7" s="22"/>
      <c r="AAF7" s="22"/>
      <c r="AAG7" s="22"/>
      <c r="AAH7" s="22"/>
      <c r="AAI7" s="22"/>
      <c r="AAJ7" s="22"/>
      <c r="AAK7" s="22"/>
      <c r="AAL7" s="22"/>
      <c r="AAM7" s="22"/>
      <c r="AAN7" s="22"/>
      <c r="AAO7" s="22"/>
      <c r="AAP7" s="22"/>
      <c r="AAQ7" s="22"/>
      <c r="AAR7" s="22"/>
      <c r="AAS7" s="22"/>
      <c r="AAT7" s="22"/>
      <c r="AAU7" s="22"/>
      <c r="AAV7" s="22"/>
      <c r="AAW7" s="22"/>
      <c r="AAX7" s="22"/>
      <c r="AAY7" s="22"/>
      <c r="AAZ7" s="22"/>
      <c r="ABA7" s="22"/>
      <c r="ABB7" s="22"/>
      <c r="ABC7" s="22"/>
      <c r="ABD7" s="22"/>
      <c r="ABE7" s="22"/>
      <c r="ABF7" s="22"/>
      <c r="ABG7" s="22"/>
      <c r="ABH7" s="22"/>
      <c r="ABI7" s="22"/>
      <c r="ABJ7" s="22"/>
      <c r="ABK7" s="22"/>
      <c r="ABL7" s="22"/>
      <c r="ABM7" s="22"/>
      <c r="ABN7" s="22"/>
      <c r="ABO7" s="22"/>
      <c r="ABP7" s="22"/>
      <c r="ABQ7" s="22"/>
      <c r="ABR7" s="22"/>
      <c r="ABS7" s="22"/>
      <c r="ABT7" s="22"/>
      <c r="ABU7" s="22"/>
      <c r="ABV7" s="22"/>
      <c r="ABW7" s="22"/>
      <c r="ABX7" s="22"/>
      <c r="ABY7" s="22"/>
      <c r="ABZ7" s="22"/>
      <c r="ACA7" s="22"/>
      <c r="ACB7" s="22"/>
      <c r="ACC7" s="22"/>
      <c r="ACD7" s="22"/>
      <c r="ACE7" s="22"/>
      <c r="ACF7" s="22"/>
      <c r="ACG7" s="22"/>
      <c r="ACH7" s="22"/>
      <c r="ACI7" s="22"/>
      <c r="ACJ7" s="22"/>
      <c r="ACK7" s="22"/>
      <c r="ACL7" s="22"/>
      <c r="ACM7" s="22"/>
      <c r="ACN7" s="22"/>
      <c r="ACO7" s="22"/>
      <c r="ACP7" s="22"/>
      <c r="ACQ7" s="22"/>
      <c r="ACR7" s="22"/>
      <c r="ACS7" s="22"/>
      <c r="ACT7" s="22"/>
      <c r="ACU7" s="22"/>
      <c r="ACV7" s="22"/>
      <c r="ACW7" s="22"/>
      <c r="ACX7" s="22"/>
      <c r="ACY7" s="22"/>
      <c r="ACZ7" s="22"/>
      <c r="ADA7" s="22"/>
      <c r="ADB7" s="22"/>
      <c r="ADC7" s="22"/>
      <c r="ADD7" s="22"/>
      <c r="ADE7" s="22"/>
      <c r="ADF7" s="22"/>
      <c r="ADG7" s="22"/>
      <c r="ADH7" s="22"/>
      <c r="ADI7" s="22"/>
      <c r="ADJ7" s="22"/>
      <c r="ADK7" s="22"/>
      <c r="ADL7" s="22"/>
      <c r="ADM7" s="22"/>
      <c r="ADN7" s="22"/>
      <c r="ADO7" s="22"/>
      <c r="ADP7" s="22"/>
      <c r="ADQ7" s="22"/>
      <c r="ADR7" s="22"/>
      <c r="ADS7" s="22"/>
      <c r="ADT7" s="22"/>
      <c r="ADU7" s="22"/>
      <c r="ADV7" s="22"/>
      <c r="ADW7" s="22"/>
      <c r="ADX7" s="22"/>
      <c r="ADY7" s="22"/>
      <c r="ADZ7" s="22"/>
      <c r="AEA7" s="22"/>
      <c r="AEB7" s="22"/>
      <c r="AEC7" s="22"/>
      <c r="AED7" s="22"/>
      <c r="AEE7" s="22"/>
      <c r="AEF7" s="22"/>
      <c r="AEG7" s="22"/>
      <c r="AEH7" s="22"/>
      <c r="AEI7" s="22"/>
      <c r="AEJ7" s="22"/>
      <c r="AEK7" s="22"/>
      <c r="AEL7" s="22"/>
      <c r="AEM7" s="22"/>
      <c r="AEN7" s="22"/>
      <c r="AEO7" s="22"/>
      <c r="AEP7" s="22"/>
      <c r="AEQ7" s="22"/>
      <c r="AER7" s="22"/>
      <c r="AES7" s="22"/>
      <c r="AET7" s="22"/>
      <c r="AEU7" s="22"/>
      <c r="AEV7" s="22"/>
      <c r="AEW7" s="22"/>
      <c r="AEX7" s="22"/>
      <c r="AEY7" s="22"/>
      <c r="AEZ7" s="22"/>
      <c r="AFA7" s="22"/>
      <c r="AFB7" s="22"/>
      <c r="AFC7" s="22"/>
      <c r="AFD7" s="22"/>
      <c r="AFE7" s="22"/>
      <c r="AFF7" s="22"/>
      <c r="AFG7" s="22"/>
      <c r="AFH7" s="22"/>
      <c r="AFI7" s="22"/>
      <c r="AFJ7" s="22"/>
      <c r="AFK7" s="22"/>
      <c r="AFL7" s="22"/>
      <c r="AFM7" s="22"/>
      <c r="AFN7" s="22"/>
      <c r="AFO7" s="22"/>
      <c r="AFP7" s="22"/>
      <c r="AFQ7" s="22"/>
      <c r="AFR7" s="22"/>
      <c r="AFS7" s="22"/>
      <c r="AFT7" s="22"/>
      <c r="AFU7" s="22"/>
      <c r="AFV7" s="22"/>
      <c r="AFW7" s="22"/>
      <c r="AFX7" s="22"/>
      <c r="AFY7" s="22"/>
      <c r="AFZ7" s="22"/>
      <c r="AGA7" s="22"/>
      <c r="AGB7" s="22"/>
      <c r="AGC7" s="22"/>
      <c r="AGD7" s="22"/>
      <c r="AGE7" s="22"/>
      <c r="AGF7" s="22"/>
      <c r="AGG7" s="22"/>
      <c r="AGH7" s="22"/>
      <c r="AGI7" s="22"/>
      <c r="AGJ7" s="22"/>
      <c r="AGK7" s="22"/>
      <c r="AGL7" s="22"/>
      <c r="AGM7" s="22"/>
      <c r="AGN7" s="22"/>
      <c r="AGO7" s="22"/>
      <c r="AGP7" s="22"/>
      <c r="AGQ7" s="22"/>
      <c r="AGR7" s="22"/>
      <c r="AGS7" s="22"/>
      <c r="AGT7" s="22"/>
      <c r="AGU7" s="22"/>
      <c r="AGV7" s="22"/>
      <c r="AGW7" s="22"/>
      <c r="AGX7" s="22"/>
      <c r="AGY7" s="22"/>
      <c r="AGZ7" s="22"/>
      <c r="AHA7" s="22"/>
      <c r="AHB7" s="22"/>
      <c r="AHC7" s="22"/>
      <c r="AHD7" s="22"/>
      <c r="AHE7" s="22"/>
      <c r="AHF7" s="22"/>
      <c r="AHG7" s="22"/>
      <c r="AHH7" s="22"/>
      <c r="AHI7" s="22"/>
      <c r="AHJ7" s="22"/>
      <c r="AHK7" s="22"/>
      <c r="AHL7" s="22"/>
      <c r="AHM7" s="22"/>
      <c r="AHN7" s="22"/>
      <c r="AHO7" s="22"/>
      <c r="AHP7" s="22"/>
      <c r="AHQ7" s="22"/>
      <c r="AHR7" s="22"/>
      <c r="AHS7" s="22"/>
      <c r="AHT7" s="22"/>
      <c r="AHU7" s="22"/>
      <c r="AHV7" s="22"/>
      <c r="AHW7" s="22"/>
      <c r="AHX7" s="22"/>
      <c r="AHY7" s="22"/>
      <c r="AHZ7" s="22"/>
      <c r="AIA7" s="22"/>
      <c r="AIB7" s="22"/>
      <c r="AIC7" s="22"/>
      <c r="AID7" s="22"/>
      <c r="AIE7" s="22"/>
      <c r="AIF7" s="22"/>
      <c r="AIG7" s="22"/>
      <c r="AIH7" s="22"/>
      <c r="AII7" s="22"/>
      <c r="AIJ7" s="22"/>
      <c r="AIK7" s="22"/>
      <c r="AIL7" s="22"/>
      <c r="AIM7" s="22"/>
      <c r="AIN7" s="22"/>
      <c r="AIO7" s="22"/>
      <c r="AIP7" s="22"/>
      <c r="AIQ7" s="22"/>
      <c r="AIR7" s="22"/>
      <c r="AIS7" s="22"/>
      <c r="AIT7" s="22"/>
      <c r="AIU7" s="22"/>
      <c r="AIV7" s="22"/>
      <c r="AIW7" s="22"/>
      <c r="AIX7" s="22"/>
      <c r="AIY7" s="22"/>
      <c r="AIZ7" s="22"/>
      <c r="AJA7" s="22"/>
      <c r="AJB7" s="22"/>
      <c r="AJC7" s="22"/>
      <c r="AJD7" s="22"/>
      <c r="AJE7" s="22"/>
      <c r="AJF7" s="22"/>
      <c r="AJG7" s="22"/>
      <c r="AJH7" s="22"/>
      <c r="AJI7" s="22"/>
      <c r="AJJ7" s="22"/>
      <c r="AJK7" s="22"/>
      <c r="AJL7" s="22"/>
      <c r="AJM7" s="22"/>
      <c r="AJN7" s="22"/>
      <c r="AJO7" s="22"/>
      <c r="AJP7" s="22"/>
      <c r="AJQ7" s="22"/>
      <c r="AJR7" s="22"/>
      <c r="AJS7" s="22"/>
      <c r="AJT7" s="22"/>
      <c r="AJU7" s="22"/>
      <c r="AJV7" s="22"/>
      <c r="AJW7" s="22"/>
      <c r="AJX7" s="22"/>
      <c r="AJY7" s="22"/>
      <c r="AJZ7" s="22"/>
      <c r="AKA7" s="22"/>
      <c r="AKB7" s="22"/>
      <c r="AKC7" s="22"/>
      <c r="AKD7" s="22"/>
      <c r="AKE7" s="22"/>
      <c r="AKF7" s="22"/>
      <c r="AKG7" s="22"/>
      <c r="AKH7" s="22"/>
      <c r="AKI7" s="22"/>
      <c r="AKJ7" s="22"/>
      <c r="AKK7" s="22"/>
      <c r="AKL7" s="22"/>
      <c r="AKM7" s="22"/>
      <c r="AKN7" s="22"/>
      <c r="AKO7" s="22"/>
      <c r="AKP7" s="22"/>
      <c r="AKQ7" s="22"/>
      <c r="AKR7" s="22"/>
      <c r="AKS7" s="22"/>
      <c r="AKT7" s="22"/>
      <c r="AKU7" s="22"/>
      <c r="AKV7" s="22"/>
      <c r="AKW7" s="22"/>
      <c r="AKX7" s="22"/>
      <c r="AKY7" s="22"/>
      <c r="AKZ7" s="22"/>
      <c r="ALA7" s="22"/>
      <c r="ALB7" s="22"/>
      <c r="ALC7" s="22"/>
      <c r="ALD7" s="22"/>
      <c r="ALE7" s="22"/>
      <c r="ALF7" s="22"/>
      <c r="ALG7" s="22"/>
      <c r="ALH7" s="22"/>
      <c r="ALI7" s="22"/>
      <c r="ALJ7" s="22"/>
      <c r="ALK7" s="22"/>
      <c r="ALL7" s="22"/>
      <c r="ALM7" s="22"/>
      <c r="ALN7" s="22"/>
      <c r="ALO7" s="22"/>
      <c r="ALP7" s="22"/>
      <c r="ALQ7" s="22"/>
      <c r="ALR7" s="22"/>
      <c r="ALS7" s="22"/>
      <c r="ALT7" s="22"/>
      <c r="ALU7" s="22"/>
      <c r="ALV7" s="22"/>
      <c r="ALW7" s="22"/>
      <c r="ALX7" s="22"/>
      <c r="ALY7" s="22"/>
      <c r="ALZ7" s="22"/>
      <c r="AMA7" s="22"/>
      <c r="AMB7" s="22"/>
      <c r="AMC7" s="22"/>
      <c r="AMD7" s="22"/>
      <c r="AME7" s="22"/>
      <c r="AMF7" s="22"/>
      <c r="AMG7" s="22"/>
      <c r="AMH7" s="22"/>
    </row>
    <row r="8" spans="1:1022" ht="15.75" x14ac:dyDescent="0.25">
      <c r="A8" s="47"/>
      <c r="B8" s="48"/>
      <c r="C8" s="49"/>
      <c r="D8" s="50"/>
      <c r="E8" s="50"/>
      <c r="F8" s="50"/>
      <c r="G8" s="50"/>
      <c r="H8" s="50"/>
      <c r="I8" s="50"/>
      <c r="J8" s="51"/>
      <c r="K8" s="51"/>
      <c r="L8" s="51"/>
      <c r="M8" s="63"/>
      <c r="N8" s="48"/>
      <c r="O8" s="52"/>
      <c r="P8" s="52"/>
      <c r="Q8" s="52"/>
      <c r="R8" s="52"/>
      <c r="S8" s="52"/>
      <c r="T8" s="52"/>
      <c r="U8" s="53"/>
      <c r="V8" s="64"/>
      <c r="W8" s="54"/>
      <c r="X8" s="55"/>
      <c r="Y8" s="55"/>
      <c r="Z8" s="21"/>
      <c r="AA8" s="21"/>
      <c r="AB8" s="21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  <c r="IZ8" s="22"/>
      <c r="JA8" s="22"/>
      <c r="JB8" s="22"/>
      <c r="JC8" s="22"/>
      <c r="JD8" s="22"/>
      <c r="JE8" s="22"/>
      <c r="JF8" s="22"/>
      <c r="JG8" s="22"/>
      <c r="JH8" s="22"/>
      <c r="JI8" s="22"/>
      <c r="JJ8" s="22"/>
      <c r="JK8" s="22"/>
      <c r="JL8" s="22"/>
      <c r="JM8" s="22"/>
      <c r="JN8" s="22"/>
      <c r="JO8" s="22"/>
      <c r="JP8" s="22"/>
      <c r="JQ8" s="22"/>
      <c r="JR8" s="22"/>
      <c r="JS8" s="22"/>
      <c r="JT8" s="22"/>
      <c r="JU8" s="22"/>
      <c r="JV8" s="22"/>
      <c r="JW8" s="22"/>
      <c r="JX8" s="22"/>
      <c r="JY8" s="22"/>
      <c r="JZ8" s="22"/>
      <c r="KA8" s="22"/>
      <c r="KB8" s="22"/>
      <c r="KC8" s="22"/>
      <c r="KD8" s="22"/>
      <c r="KE8" s="22"/>
      <c r="KF8" s="22"/>
      <c r="KG8" s="22"/>
      <c r="KH8" s="22"/>
      <c r="KI8" s="22"/>
      <c r="KJ8" s="22"/>
      <c r="KK8" s="22"/>
      <c r="KL8" s="22"/>
      <c r="KM8" s="22"/>
      <c r="KN8" s="22"/>
      <c r="KO8" s="22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2"/>
      <c r="LD8" s="22"/>
      <c r="LE8" s="22"/>
      <c r="LF8" s="22"/>
      <c r="LG8" s="22"/>
      <c r="LH8" s="22"/>
      <c r="LI8" s="22"/>
      <c r="LJ8" s="22"/>
      <c r="LK8" s="22"/>
      <c r="LL8" s="22"/>
      <c r="LM8" s="22"/>
      <c r="LN8" s="22"/>
      <c r="LO8" s="22"/>
      <c r="LP8" s="22"/>
      <c r="LQ8" s="22"/>
      <c r="LR8" s="22"/>
      <c r="LS8" s="22"/>
      <c r="LT8" s="22"/>
      <c r="LU8" s="22"/>
      <c r="LV8" s="22"/>
      <c r="LW8" s="22"/>
      <c r="LX8" s="22"/>
      <c r="LY8" s="22"/>
      <c r="LZ8" s="22"/>
      <c r="MA8" s="22"/>
      <c r="MB8" s="22"/>
      <c r="MC8" s="22"/>
      <c r="MD8" s="22"/>
      <c r="ME8" s="22"/>
      <c r="MF8" s="22"/>
      <c r="MG8" s="22"/>
      <c r="MH8" s="22"/>
      <c r="MI8" s="22"/>
      <c r="MJ8" s="22"/>
      <c r="MK8" s="22"/>
      <c r="ML8" s="22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2"/>
      <c r="MZ8" s="22"/>
      <c r="NA8" s="22"/>
      <c r="NB8" s="22"/>
      <c r="NC8" s="22"/>
      <c r="ND8" s="22"/>
      <c r="NE8" s="22"/>
      <c r="NF8" s="22"/>
      <c r="NG8" s="22"/>
      <c r="NH8" s="22"/>
      <c r="NI8" s="22"/>
      <c r="NJ8" s="22"/>
      <c r="NK8" s="22"/>
      <c r="NL8" s="22"/>
      <c r="NM8" s="22"/>
      <c r="NN8" s="22"/>
      <c r="NO8" s="22"/>
      <c r="NP8" s="22"/>
      <c r="NQ8" s="22"/>
      <c r="NR8" s="22"/>
      <c r="NS8" s="22"/>
      <c r="NT8" s="22"/>
      <c r="NU8" s="22"/>
      <c r="NV8" s="22"/>
      <c r="NW8" s="22"/>
      <c r="NX8" s="22"/>
      <c r="NY8" s="22"/>
      <c r="NZ8" s="22"/>
      <c r="OA8" s="22"/>
      <c r="OB8" s="22"/>
      <c r="OC8" s="22"/>
      <c r="OD8" s="22"/>
      <c r="OE8" s="22"/>
      <c r="OF8" s="22"/>
      <c r="OG8" s="22"/>
      <c r="OH8" s="22"/>
      <c r="OI8" s="22"/>
      <c r="OJ8" s="22"/>
      <c r="OK8" s="22"/>
      <c r="OL8" s="22"/>
      <c r="OM8" s="22"/>
      <c r="ON8" s="22"/>
      <c r="OO8" s="22"/>
      <c r="OP8" s="22"/>
      <c r="OQ8" s="22"/>
      <c r="OR8" s="22"/>
      <c r="OS8" s="22"/>
      <c r="OT8" s="22"/>
      <c r="OU8" s="22"/>
      <c r="OV8" s="22"/>
      <c r="OW8" s="22"/>
      <c r="OX8" s="22"/>
      <c r="OY8" s="22"/>
      <c r="OZ8" s="22"/>
      <c r="PA8" s="22"/>
      <c r="PB8" s="22"/>
      <c r="PC8" s="22"/>
      <c r="PD8" s="22"/>
      <c r="PE8" s="22"/>
      <c r="PF8" s="22"/>
      <c r="PG8" s="22"/>
      <c r="PH8" s="22"/>
      <c r="PI8" s="22"/>
      <c r="PJ8" s="22"/>
      <c r="PK8" s="22"/>
      <c r="PL8" s="22"/>
      <c r="PM8" s="22"/>
      <c r="PN8" s="22"/>
      <c r="PO8" s="22"/>
      <c r="PP8" s="22"/>
      <c r="PQ8" s="22"/>
      <c r="PR8" s="22"/>
      <c r="PS8" s="22"/>
      <c r="PT8" s="22"/>
      <c r="PU8" s="22"/>
      <c r="PV8" s="22"/>
      <c r="PW8" s="22"/>
      <c r="PX8" s="22"/>
      <c r="PY8" s="22"/>
      <c r="PZ8" s="22"/>
      <c r="QA8" s="22"/>
      <c r="QB8" s="22"/>
      <c r="QC8" s="22"/>
      <c r="QD8" s="22"/>
      <c r="QE8" s="22"/>
      <c r="QF8" s="22"/>
      <c r="QG8" s="22"/>
      <c r="QH8" s="22"/>
      <c r="QI8" s="22"/>
      <c r="QJ8" s="22"/>
      <c r="QK8" s="22"/>
      <c r="QL8" s="22"/>
      <c r="QM8" s="22"/>
      <c r="QN8" s="22"/>
      <c r="QO8" s="22"/>
      <c r="QP8" s="22"/>
      <c r="QQ8" s="22"/>
      <c r="QR8" s="22"/>
      <c r="QS8" s="22"/>
      <c r="QT8" s="22"/>
      <c r="QU8" s="22"/>
      <c r="QV8" s="22"/>
      <c r="QW8" s="22"/>
      <c r="QX8" s="22"/>
      <c r="QY8" s="22"/>
      <c r="QZ8" s="22"/>
      <c r="RA8" s="22"/>
      <c r="RB8" s="22"/>
      <c r="RC8" s="22"/>
      <c r="RD8" s="22"/>
      <c r="RE8" s="22"/>
      <c r="RF8" s="22"/>
      <c r="RG8" s="22"/>
      <c r="RH8" s="22"/>
      <c r="RI8" s="22"/>
      <c r="RJ8" s="22"/>
      <c r="RK8" s="22"/>
      <c r="RL8" s="22"/>
      <c r="RM8" s="22"/>
      <c r="RN8" s="22"/>
      <c r="RO8" s="22"/>
      <c r="RP8" s="22"/>
      <c r="RQ8" s="22"/>
      <c r="RR8" s="22"/>
      <c r="RS8" s="22"/>
      <c r="RT8" s="22"/>
      <c r="RU8" s="22"/>
      <c r="RV8" s="22"/>
      <c r="RW8" s="22"/>
      <c r="RX8" s="22"/>
      <c r="RY8" s="22"/>
      <c r="RZ8" s="22"/>
      <c r="SA8" s="22"/>
      <c r="SB8" s="22"/>
      <c r="SC8" s="22"/>
      <c r="SD8" s="22"/>
      <c r="SE8" s="22"/>
      <c r="SF8" s="22"/>
      <c r="SG8" s="22"/>
      <c r="SH8" s="22"/>
      <c r="SI8" s="22"/>
      <c r="SJ8" s="22"/>
      <c r="SK8" s="22"/>
      <c r="SL8" s="22"/>
      <c r="SM8" s="22"/>
      <c r="SN8" s="22"/>
      <c r="SO8" s="22"/>
      <c r="SP8" s="22"/>
      <c r="SQ8" s="22"/>
      <c r="SR8" s="22"/>
      <c r="SS8" s="22"/>
      <c r="ST8" s="22"/>
      <c r="SU8" s="22"/>
      <c r="SV8" s="22"/>
      <c r="SW8" s="22"/>
      <c r="SX8" s="22"/>
      <c r="SY8" s="22"/>
      <c r="SZ8" s="22"/>
      <c r="TA8" s="22"/>
      <c r="TB8" s="22"/>
      <c r="TC8" s="22"/>
      <c r="TD8" s="22"/>
      <c r="TE8" s="22"/>
      <c r="TF8" s="22"/>
      <c r="TG8" s="22"/>
      <c r="TH8" s="22"/>
      <c r="TI8" s="22"/>
      <c r="TJ8" s="22"/>
      <c r="TK8" s="22"/>
      <c r="TL8" s="22"/>
      <c r="TM8" s="22"/>
      <c r="TN8" s="22"/>
      <c r="TO8" s="22"/>
      <c r="TP8" s="22"/>
      <c r="TQ8" s="22"/>
      <c r="TR8" s="22"/>
      <c r="TS8" s="22"/>
      <c r="TT8" s="22"/>
      <c r="TU8" s="22"/>
      <c r="TV8" s="22"/>
      <c r="TW8" s="22"/>
      <c r="TX8" s="22"/>
      <c r="TY8" s="22"/>
      <c r="TZ8" s="22"/>
      <c r="UA8" s="22"/>
      <c r="UB8" s="22"/>
      <c r="UC8" s="22"/>
      <c r="UD8" s="22"/>
      <c r="UE8" s="22"/>
      <c r="UF8" s="22"/>
      <c r="UG8" s="22"/>
      <c r="UH8" s="22"/>
      <c r="UI8" s="22"/>
      <c r="UJ8" s="22"/>
      <c r="UK8" s="22"/>
      <c r="UL8" s="22"/>
      <c r="UM8" s="22"/>
      <c r="UN8" s="22"/>
      <c r="UO8" s="22"/>
      <c r="UP8" s="22"/>
      <c r="UQ8" s="22"/>
      <c r="UR8" s="22"/>
      <c r="US8" s="22"/>
      <c r="UT8" s="22"/>
      <c r="UU8" s="22"/>
      <c r="UV8" s="22"/>
      <c r="UW8" s="22"/>
      <c r="UX8" s="22"/>
      <c r="UY8" s="22"/>
      <c r="UZ8" s="22"/>
      <c r="VA8" s="22"/>
      <c r="VB8" s="22"/>
      <c r="VC8" s="22"/>
      <c r="VD8" s="22"/>
      <c r="VE8" s="22"/>
      <c r="VF8" s="22"/>
      <c r="VG8" s="22"/>
      <c r="VH8" s="22"/>
      <c r="VI8" s="22"/>
      <c r="VJ8" s="22"/>
      <c r="VK8" s="22"/>
      <c r="VL8" s="22"/>
      <c r="VM8" s="22"/>
      <c r="VN8" s="22"/>
      <c r="VO8" s="22"/>
      <c r="VP8" s="22"/>
      <c r="VQ8" s="22"/>
      <c r="VR8" s="22"/>
      <c r="VS8" s="22"/>
      <c r="VT8" s="22"/>
      <c r="VU8" s="22"/>
      <c r="VV8" s="22"/>
      <c r="VW8" s="22"/>
      <c r="VX8" s="22"/>
      <c r="VY8" s="22"/>
      <c r="VZ8" s="22"/>
      <c r="WA8" s="22"/>
      <c r="WB8" s="22"/>
      <c r="WC8" s="22"/>
      <c r="WD8" s="22"/>
      <c r="WE8" s="22"/>
      <c r="WF8" s="22"/>
      <c r="WG8" s="22"/>
      <c r="WH8" s="22"/>
      <c r="WI8" s="22"/>
      <c r="WJ8" s="22"/>
      <c r="WK8" s="22"/>
      <c r="WL8" s="22"/>
      <c r="WM8" s="22"/>
      <c r="WN8" s="22"/>
      <c r="WO8" s="22"/>
      <c r="WP8" s="22"/>
      <c r="WQ8" s="22"/>
      <c r="WR8" s="22"/>
      <c r="WS8" s="22"/>
      <c r="WT8" s="22"/>
      <c r="WU8" s="22"/>
      <c r="WV8" s="22"/>
      <c r="WW8" s="22"/>
      <c r="WX8" s="22"/>
      <c r="WY8" s="22"/>
      <c r="WZ8" s="22"/>
      <c r="XA8" s="22"/>
      <c r="XB8" s="22"/>
      <c r="XC8" s="22"/>
      <c r="XD8" s="22"/>
      <c r="XE8" s="22"/>
      <c r="XF8" s="22"/>
      <c r="XG8" s="22"/>
      <c r="XH8" s="22"/>
      <c r="XI8" s="22"/>
      <c r="XJ8" s="22"/>
      <c r="XK8" s="22"/>
      <c r="XL8" s="22"/>
      <c r="XM8" s="22"/>
      <c r="XN8" s="22"/>
      <c r="XO8" s="22"/>
      <c r="XP8" s="22"/>
      <c r="XQ8" s="22"/>
      <c r="XR8" s="22"/>
      <c r="XS8" s="22"/>
      <c r="XT8" s="22"/>
      <c r="XU8" s="22"/>
      <c r="XV8" s="22"/>
      <c r="XW8" s="22"/>
      <c r="XX8" s="22"/>
      <c r="XY8" s="22"/>
      <c r="XZ8" s="22"/>
      <c r="YA8" s="22"/>
      <c r="YB8" s="22"/>
      <c r="YC8" s="22"/>
      <c r="YD8" s="22"/>
      <c r="YE8" s="22"/>
      <c r="YF8" s="22"/>
      <c r="YG8" s="22"/>
      <c r="YH8" s="22"/>
      <c r="YI8" s="22"/>
      <c r="YJ8" s="22"/>
      <c r="YK8" s="22"/>
      <c r="YL8" s="22"/>
      <c r="YM8" s="22"/>
      <c r="YN8" s="22"/>
      <c r="YO8" s="22"/>
      <c r="YP8" s="22"/>
      <c r="YQ8" s="22"/>
      <c r="YR8" s="22"/>
      <c r="YS8" s="22"/>
      <c r="YT8" s="22"/>
      <c r="YU8" s="22"/>
      <c r="YV8" s="22"/>
      <c r="YW8" s="22"/>
      <c r="YX8" s="22"/>
      <c r="YY8" s="22"/>
      <c r="YZ8" s="22"/>
      <c r="ZA8" s="22"/>
      <c r="ZB8" s="22"/>
      <c r="ZC8" s="22"/>
      <c r="ZD8" s="22"/>
      <c r="ZE8" s="22"/>
      <c r="ZF8" s="22"/>
      <c r="ZG8" s="22"/>
      <c r="ZH8" s="22"/>
      <c r="ZI8" s="22"/>
      <c r="ZJ8" s="22"/>
      <c r="ZK8" s="22"/>
      <c r="ZL8" s="22"/>
      <c r="ZM8" s="22"/>
      <c r="ZN8" s="22"/>
      <c r="ZO8" s="22"/>
      <c r="ZP8" s="22"/>
      <c r="ZQ8" s="22"/>
      <c r="ZR8" s="22"/>
      <c r="ZS8" s="22"/>
      <c r="ZT8" s="22"/>
      <c r="ZU8" s="22"/>
      <c r="ZV8" s="22"/>
      <c r="ZW8" s="22"/>
      <c r="ZX8" s="22"/>
      <c r="ZY8" s="22"/>
      <c r="ZZ8" s="22"/>
      <c r="AAA8" s="22"/>
      <c r="AAB8" s="22"/>
      <c r="AAC8" s="22"/>
      <c r="AAD8" s="22"/>
      <c r="AAE8" s="22"/>
      <c r="AAF8" s="22"/>
      <c r="AAG8" s="22"/>
      <c r="AAH8" s="22"/>
      <c r="AAI8" s="22"/>
      <c r="AAJ8" s="22"/>
      <c r="AAK8" s="22"/>
      <c r="AAL8" s="22"/>
      <c r="AAM8" s="22"/>
      <c r="AAN8" s="22"/>
      <c r="AAO8" s="22"/>
      <c r="AAP8" s="22"/>
      <c r="AAQ8" s="22"/>
      <c r="AAR8" s="22"/>
      <c r="AAS8" s="22"/>
      <c r="AAT8" s="22"/>
      <c r="AAU8" s="22"/>
      <c r="AAV8" s="22"/>
      <c r="AAW8" s="22"/>
      <c r="AAX8" s="22"/>
      <c r="AAY8" s="22"/>
      <c r="AAZ8" s="22"/>
      <c r="ABA8" s="22"/>
      <c r="ABB8" s="22"/>
      <c r="ABC8" s="22"/>
      <c r="ABD8" s="22"/>
      <c r="ABE8" s="22"/>
      <c r="ABF8" s="22"/>
      <c r="ABG8" s="22"/>
      <c r="ABH8" s="22"/>
      <c r="ABI8" s="22"/>
      <c r="ABJ8" s="22"/>
      <c r="ABK8" s="22"/>
      <c r="ABL8" s="22"/>
      <c r="ABM8" s="22"/>
      <c r="ABN8" s="22"/>
      <c r="ABO8" s="22"/>
      <c r="ABP8" s="22"/>
      <c r="ABQ8" s="22"/>
      <c r="ABR8" s="22"/>
      <c r="ABS8" s="22"/>
      <c r="ABT8" s="22"/>
      <c r="ABU8" s="22"/>
      <c r="ABV8" s="22"/>
      <c r="ABW8" s="22"/>
      <c r="ABX8" s="22"/>
      <c r="ABY8" s="22"/>
      <c r="ABZ8" s="22"/>
      <c r="ACA8" s="22"/>
      <c r="ACB8" s="22"/>
      <c r="ACC8" s="22"/>
      <c r="ACD8" s="22"/>
      <c r="ACE8" s="22"/>
      <c r="ACF8" s="22"/>
      <c r="ACG8" s="22"/>
      <c r="ACH8" s="22"/>
      <c r="ACI8" s="22"/>
      <c r="ACJ8" s="22"/>
      <c r="ACK8" s="22"/>
      <c r="ACL8" s="22"/>
      <c r="ACM8" s="22"/>
      <c r="ACN8" s="22"/>
      <c r="ACO8" s="22"/>
      <c r="ACP8" s="22"/>
      <c r="ACQ8" s="22"/>
      <c r="ACR8" s="22"/>
      <c r="ACS8" s="22"/>
      <c r="ACT8" s="22"/>
      <c r="ACU8" s="22"/>
      <c r="ACV8" s="22"/>
      <c r="ACW8" s="22"/>
      <c r="ACX8" s="22"/>
      <c r="ACY8" s="22"/>
      <c r="ACZ8" s="22"/>
      <c r="ADA8" s="22"/>
      <c r="ADB8" s="22"/>
      <c r="ADC8" s="22"/>
      <c r="ADD8" s="22"/>
      <c r="ADE8" s="22"/>
      <c r="ADF8" s="22"/>
      <c r="ADG8" s="22"/>
      <c r="ADH8" s="22"/>
      <c r="ADI8" s="22"/>
      <c r="ADJ8" s="22"/>
      <c r="ADK8" s="22"/>
      <c r="ADL8" s="22"/>
      <c r="ADM8" s="22"/>
      <c r="ADN8" s="22"/>
      <c r="ADO8" s="22"/>
      <c r="ADP8" s="22"/>
      <c r="ADQ8" s="22"/>
      <c r="ADR8" s="22"/>
      <c r="ADS8" s="22"/>
      <c r="ADT8" s="22"/>
      <c r="ADU8" s="22"/>
      <c r="ADV8" s="22"/>
      <c r="ADW8" s="22"/>
      <c r="ADX8" s="22"/>
      <c r="ADY8" s="22"/>
      <c r="ADZ8" s="22"/>
      <c r="AEA8" s="22"/>
      <c r="AEB8" s="22"/>
      <c r="AEC8" s="22"/>
      <c r="AED8" s="22"/>
      <c r="AEE8" s="22"/>
      <c r="AEF8" s="22"/>
      <c r="AEG8" s="22"/>
      <c r="AEH8" s="22"/>
      <c r="AEI8" s="22"/>
      <c r="AEJ8" s="22"/>
      <c r="AEK8" s="22"/>
      <c r="AEL8" s="22"/>
      <c r="AEM8" s="22"/>
      <c r="AEN8" s="22"/>
      <c r="AEO8" s="22"/>
      <c r="AEP8" s="22"/>
      <c r="AEQ8" s="22"/>
      <c r="AER8" s="22"/>
      <c r="AES8" s="22"/>
      <c r="AET8" s="22"/>
      <c r="AEU8" s="22"/>
      <c r="AEV8" s="22"/>
      <c r="AEW8" s="22"/>
      <c r="AEX8" s="22"/>
      <c r="AEY8" s="22"/>
      <c r="AEZ8" s="22"/>
      <c r="AFA8" s="22"/>
      <c r="AFB8" s="22"/>
      <c r="AFC8" s="22"/>
      <c r="AFD8" s="22"/>
      <c r="AFE8" s="22"/>
      <c r="AFF8" s="22"/>
      <c r="AFG8" s="22"/>
      <c r="AFH8" s="22"/>
      <c r="AFI8" s="22"/>
      <c r="AFJ8" s="22"/>
      <c r="AFK8" s="22"/>
      <c r="AFL8" s="22"/>
      <c r="AFM8" s="22"/>
      <c r="AFN8" s="22"/>
      <c r="AFO8" s="22"/>
      <c r="AFP8" s="22"/>
      <c r="AFQ8" s="22"/>
      <c r="AFR8" s="22"/>
      <c r="AFS8" s="22"/>
      <c r="AFT8" s="22"/>
      <c r="AFU8" s="22"/>
      <c r="AFV8" s="22"/>
      <c r="AFW8" s="22"/>
      <c r="AFX8" s="22"/>
      <c r="AFY8" s="22"/>
      <c r="AFZ8" s="22"/>
      <c r="AGA8" s="22"/>
      <c r="AGB8" s="22"/>
      <c r="AGC8" s="22"/>
      <c r="AGD8" s="22"/>
      <c r="AGE8" s="22"/>
      <c r="AGF8" s="22"/>
      <c r="AGG8" s="22"/>
      <c r="AGH8" s="22"/>
      <c r="AGI8" s="22"/>
      <c r="AGJ8" s="22"/>
      <c r="AGK8" s="22"/>
      <c r="AGL8" s="22"/>
      <c r="AGM8" s="22"/>
      <c r="AGN8" s="22"/>
      <c r="AGO8" s="22"/>
      <c r="AGP8" s="22"/>
      <c r="AGQ8" s="22"/>
      <c r="AGR8" s="22"/>
      <c r="AGS8" s="22"/>
      <c r="AGT8" s="22"/>
      <c r="AGU8" s="22"/>
      <c r="AGV8" s="22"/>
      <c r="AGW8" s="22"/>
      <c r="AGX8" s="22"/>
      <c r="AGY8" s="22"/>
      <c r="AGZ8" s="22"/>
      <c r="AHA8" s="22"/>
      <c r="AHB8" s="22"/>
      <c r="AHC8" s="22"/>
      <c r="AHD8" s="22"/>
      <c r="AHE8" s="22"/>
      <c r="AHF8" s="22"/>
      <c r="AHG8" s="22"/>
      <c r="AHH8" s="22"/>
      <c r="AHI8" s="22"/>
      <c r="AHJ8" s="22"/>
      <c r="AHK8" s="22"/>
      <c r="AHL8" s="22"/>
      <c r="AHM8" s="22"/>
      <c r="AHN8" s="22"/>
      <c r="AHO8" s="22"/>
      <c r="AHP8" s="22"/>
      <c r="AHQ8" s="22"/>
      <c r="AHR8" s="22"/>
      <c r="AHS8" s="22"/>
      <c r="AHT8" s="22"/>
      <c r="AHU8" s="22"/>
      <c r="AHV8" s="22"/>
      <c r="AHW8" s="22"/>
      <c r="AHX8" s="22"/>
      <c r="AHY8" s="22"/>
      <c r="AHZ8" s="22"/>
      <c r="AIA8" s="22"/>
      <c r="AIB8" s="22"/>
      <c r="AIC8" s="22"/>
      <c r="AID8" s="22"/>
      <c r="AIE8" s="22"/>
      <c r="AIF8" s="22"/>
      <c r="AIG8" s="22"/>
      <c r="AIH8" s="22"/>
      <c r="AII8" s="22"/>
      <c r="AIJ8" s="22"/>
      <c r="AIK8" s="22"/>
      <c r="AIL8" s="22"/>
      <c r="AIM8" s="22"/>
      <c r="AIN8" s="22"/>
      <c r="AIO8" s="22"/>
      <c r="AIP8" s="22"/>
      <c r="AIQ8" s="22"/>
      <c r="AIR8" s="22"/>
      <c r="AIS8" s="22"/>
      <c r="AIT8" s="22"/>
      <c r="AIU8" s="22"/>
      <c r="AIV8" s="22"/>
      <c r="AIW8" s="22"/>
      <c r="AIX8" s="22"/>
      <c r="AIY8" s="22"/>
      <c r="AIZ8" s="22"/>
      <c r="AJA8" s="22"/>
      <c r="AJB8" s="22"/>
      <c r="AJC8" s="22"/>
      <c r="AJD8" s="22"/>
      <c r="AJE8" s="22"/>
      <c r="AJF8" s="22"/>
      <c r="AJG8" s="22"/>
      <c r="AJH8" s="22"/>
      <c r="AJI8" s="22"/>
      <c r="AJJ8" s="22"/>
      <c r="AJK8" s="22"/>
      <c r="AJL8" s="22"/>
      <c r="AJM8" s="22"/>
      <c r="AJN8" s="22"/>
      <c r="AJO8" s="22"/>
      <c r="AJP8" s="22"/>
      <c r="AJQ8" s="22"/>
      <c r="AJR8" s="22"/>
      <c r="AJS8" s="22"/>
      <c r="AJT8" s="22"/>
      <c r="AJU8" s="22"/>
      <c r="AJV8" s="22"/>
      <c r="AJW8" s="22"/>
      <c r="AJX8" s="22"/>
      <c r="AJY8" s="22"/>
      <c r="AJZ8" s="22"/>
      <c r="AKA8" s="22"/>
      <c r="AKB8" s="22"/>
      <c r="AKC8" s="22"/>
      <c r="AKD8" s="22"/>
      <c r="AKE8" s="22"/>
      <c r="AKF8" s="22"/>
      <c r="AKG8" s="22"/>
      <c r="AKH8" s="22"/>
      <c r="AKI8" s="22"/>
      <c r="AKJ8" s="22"/>
      <c r="AKK8" s="22"/>
      <c r="AKL8" s="22"/>
      <c r="AKM8" s="22"/>
      <c r="AKN8" s="22"/>
      <c r="AKO8" s="22"/>
      <c r="AKP8" s="22"/>
      <c r="AKQ8" s="22"/>
      <c r="AKR8" s="22"/>
      <c r="AKS8" s="22"/>
      <c r="AKT8" s="22"/>
      <c r="AKU8" s="22"/>
      <c r="AKV8" s="22"/>
      <c r="AKW8" s="22"/>
      <c r="AKX8" s="22"/>
      <c r="AKY8" s="22"/>
      <c r="AKZ8" s="22"/>
      <c r="ALA8" s="22"/>
      <c r="ALB8" s="22"/>
      <c r="ALC8" s="22"/>
      <c r="ALD8" s="22"/>
      <c r="ALE8" s="22"/>
      <c r="ALF8" s="22"/>
      <c r="ALG8" s="22"/>
      <c r="ALH8" s="22"/>
      <c r="ALI8" s="22"/>
      <c r="ALJ8" s="22"/>
      <c r="ALK8" s="22"/>
      <c r="ALL8" s="22"/>
      <c r="ALM8" s="22"/>
      <c r="ALN8" s="22"/>
      <c r="ALO8" s="22"/>
      <c r="ALP8" s="22"/>
      <c r="ALQ8" s="22"/>
      <c r="ALR8" s="22"/>
      <c r="ALS8" s="22"/>
      <c r="ALT8" s="22"/>
      <c r="ALU8" s="22"/>
      <c r="ALV8" s="22"/>
      <c r="ALW8" s="22"/>
      <c r="ALX8" s="22"/>
      <c r="ALY8" s="22"/>
      <c r="ALZ8" s="22"/>
      <c r="AMA8" s="22"/>
      <c r="AMB8" s="22"/>
      <c r="AMC8" s="22"/>
      <c r="AMD8" s="22"/>
      <c r="AME8" s="22"/>
      <c r="AMF8" s="22"/>
      <c r="AMG8" s="22"/>
      <c r="AMH8" s="22"/>
    </row>
    <row r="9" spans="1:1022" ht="15.75" x14ac:dyDescent="0.25">
      <c r="A9" s="47"/>
      <c r="B9" s="48"/>
      <c r="C9" s="49"/>
      <c r="D9" s="50"/>
      <c r="E9" s="50"/>
      <c r="F9" s="50"/>
      <c r="G9" s="50"/>
      <c r="H9" s="50"/>
      <c r="I9" s="50"/>
      <c r="J9" s="50"/>
      <c r="K9" s="51"/>
      <c r="L9" s="51"/>
      <c r="M9" s="58"/>
      <c r="N9" s="48"/>
      <c r="O9" s="52"/>
      <c r="P9" s="52"/>
      <c r="Q9" s="52"/>
      <c r="R9" s="52"/>
      <c r="S9" s="34"/>
      <c r="T9" s="52"/>
      <c r="U9" s="53"/>
      <c r="V9" s="58"/>
      <c r="W9" s="54"/>
      <c r="X9" s="55">
        <f>SUM(X2:X7)</f>
        <v>24580020</v>
      </c>
      <c r="Y9" s="55">
        <f>SUM(Y2:Y7)</f>
        <v>18170599.84</v>
      </c>
      <c r="Z9" s="21"/>
      <c r="AA9" s="21"/>
      <c r="AB9" s="21"/>
    </row>
    <row r="10" spans="1:1022" ht="15.75" x14ac:dyDescent="0.25">
      <c r="A10" s="47"/>
      <c r="B10" s="48"/>
      <c r="C10" s="49"/>
      <c r="D10" s="50"/>
      <c r="E10" s="50"/>
      <c r="F10" s="50"/>
      <c r="G10" s="50"/>
      <c r="H10" s="50"/>
      <c r="I10" s="50"/>
      <c r="J10" s="50"/>
      <c r="K10" s="51"/>
      <c r="L10" s="51"/>
      <c r="M10" s="58"/>
      <c r="N10" s="48"/>
      <c r="O10" s="52"/>
      <c r="P10" s="52"/>
      <c r="Q10" s="52"/>
      <c r="R10" s="52"/>
      <c r="S10" s="34"/>
      <c r="T10" s="52"/>
      <c r="U10" s="53"/>
      <c r="V10" s="58"/>
      <c r="W10" s="54"/>
      <c r="X10" s="55"/>
      <c r="Y10" s="55"/>
      <c r="Z10" s="21"/>
      <c r="AA10" s="21"/>
      <c r="AB10" s="21"/>
    </row>
    <row r="11" spans="1:1022" ht="15.75" x14ac:dyDescent="0.25">
      <c r="A11" s="35"/>
      <c r="B11" s="36"/>
      <c r="C11" s="36"/>
      <c r="D11" s="37"/>
      <c r="E11" s="38">
        <f>SUM(E2:E7)</f>
        <v>9674</v>
      </c>
      <c r="F11" s="38"/>
      <c r="G11" s="38"/>
      <c r="H11" s="39"/>
      <c r="I11" s="38">
        <f>SUM(I2:I7)</f>
        <v>1389.8333333333333</v>
      </c>
      <c r="J11" s="38"/>
      <c r="K11" s="39"/>
      <c r="L11" s="59">
        <f>SUMIF(L2:L7,"&lt;&gt;#ДЕЛ/0!")</f>
        <v>158038.94683544303</v>
      </c>
      <c r="M11" s="60">
        <f>SUM(M2:M7)</f>
        <v>25278.199999999997</v>
      </c>
      <c r="O11" s="7"/>
      <c r="P11" s="40">
        <f>SUMIF(P2:P7,"&lt;&gt;#ДЕЛ/0!")</f>
        <v>12485076.799999999</v>
      </c>
      <c r="Q11" s="40">
        <f>SUMIF(Q2:Q7,"&lt;&gt;#ДЕЛ/0!")</f>
        <v>3745523.0399999996</v>
      </c>
      <c r="R11" s="40">
        <f>SUMIF(R2:R7,"&lt;&gt;#ДЕЛ/0!")</f>
        <v>1900000.0000000002</v>
      </c>
      <c r="S11" s="40">
        <f>SUMIF(S2:S7,"&lt;&gt;#ДЕЛ/0!")</f>
        <v>40000.000000000007</v>
      </c>
      <c r="T11" s="40">
        <f>SUMIF(T2:T7,"&lt;&gt;#ДЕЛ/0!")</f>
        <v>18170599.84</v>
      </c>
      <c r="U11" s="41"/>
      <c r="V11" s="21"/>
      <c r="Y11" s="21"/>
      <c r="Z11" s="21"/>
      <c r="AA11" s="21"/>
      <c r="AB11" s="21"/>
      <c r="AMG11" s="5"/>
      <c r="AMH11" s="5"/>
    </row>
    <row r="12" spans="1:1022" ht="30" x14ac:dyDescent="0.25">
      <c r="L12" s="56" t="s">
        <v>23</v>
      </c>
      <c r="M12" s="57">
        <f>(M11/700)*20+M11</f>
        <v>26000.434285714284</v>
      </c>
      <c r="O12" s="7"/>
      <c r="P12" s="42" t="s">
        <v>24</v>
      </c>
      <c r="Q12" s="42" t="s">
        <v>24</v>
      </c>
      <c r="R12" s="42" t="s">
        <v>24</v>
      </c>
      <c r="S12" s="42" t="s">
        <v>24</v>
      </c>
      <c r="T12" s="43"/>
      <c r="X12" s="61" t="s">
        <v>25</v>
      </c>
      <c r="Y12" s="62">
        <f>(X9-Y9)/Y9</f>
        <v>0.35273574986173928</v>
      </c>
    </row>
    <row r="13" spans="1:1022" ht="15.75" x14ac:dyDescent="0.25">
      <c r="L13" s="6"/>
      <c r="M13" s="6"/>
      <c r="P13" s="44">
        <f>L11*N2</f>
        <v>12485076.799999999</v>
      </c>
      <c r="Q13" s="44">
        <f>P13*0.3</f>
        <v>3745523.0399999996</v>
      </c>
      <c r="R13" s="45">
        <f>950000*2</f>
        <v>1900000</v>
      </c>
      <c r="S13" s="45">
        <v>40000</v>
      </c>
      <c r="T13" s="44">
        <f>P13+Q13+R13+S13</f>
        <v>18170599.839999996</v>
      </c>
    </row>
    <row r="14" spans="1:1022" x14ac:dyDescent="0.2">
      <c r="L14" s="6"/>
      <c r="M14" s="6"/>
      <c r="N14" s="5"/>
      <c r="Q14" s="5"/>
      <c r="R14" s="5"/>
      <c r="S14" s="5"/>
      <c r="T14" s="5"/>
    </row>
    <row r="15" spans="1:1022" x14ac:dyDescent="0.2">
      <c r="L15" s="6"/>
      <c r="M15" s="6"/>
      <c r="N15" s="5"/>
      <c r="Q15" s="5"/>
      <c r="R15" s="5"/>
      <c r="S15" s="5"/>
      <c r="T15" s="5"/>
    </row>
    <row r="16" spans="1:1022" x14ac:dyDescent="0.2">
      <c r="L16" s="6"/>
      <c r="M16" s="6"/>
      <c r="N16" s="5"/>
      <c r="Q16" s="5"/>
      <c r="R16" s="5"/>
      <c r="S16" s="5"/>
      <c r="T16" s="5"/>
    </row>
    <row r="17" spans="12:20" x14ac:dyDescent="0.2">
      <c r="L17" s="6"/>
      <c r="M17" s="6"/>
      <c r="N17" s="5"/>
      <c r="Q17" s="46"/>
      <c r="R17" s="5"/>
      <c r="S17" s="5"/>
      <c r="T17" s="5"/>
    </row>
    <row r="18" spans="12:20" x14ac:dyDescent="0.2">
      <c r="L18" s="6"/>
      <c r="M18" s="6"/>
      <c r="N18" s="5"/>
      <c r="Q18" s="5"/>
      <c r="R18" s="5"/>
      <c r="S18" s="5"/>
      <c r="T18" s="5"/>
    </row>
    <row r="19" spans="12:20" x14ac:dyDescent="0.2">
      <c r="N19" s="5"/>
      <c r="Q19" s="5"/>
      <c r="R19" s="5"/>
      <c r="S19" s="5"/>
      <c r="T19" s="5"/>
    </row>
    <row r="20" spans="12:20" x14ac:dyDescent="0.2">
      <c r="N20" s="5"/>
      <c r="Q20" s="5"/>
      <c r="R20" s="5"/>
      <c r="S20" s="5"/>
      <c r="T20" s="5"/>
    </row>
    <row r="21" spans="12:20" x14ac:dyDescent="0.2">
      <c r="N21" s="5"/>
      <c r="Q21" s="5"/>
      <c r="R21" s="5"/>
      <c r="S21" s="5"/>
      <c r="T21" s="5"/>
    </row>
    <row r="22" spans="12:20" x14ac:dyDescent="0.2">
      <c r="N22" s="5"/>
      <c r="Q22" s="5"/>
      <c r="R22" s="5"/>
      <c r="S22" s="5"/>
      <c r="T22" s="5"/>
    </row>
    <row r="23" spans="12:20" x14ac:dyDescent="0.2">
      <c r="N23" s="5"/>
      <c r="Q23" s="5"/>
      <c r="R23" s="5"/>
      <c r="S23" s="5"/>
      <c r="T23" s="5"/>
    </row>
    <row r="24" spans="12:20" x14ac:dyDescent="0.2">
      <c r="N24" s="5"/>
      <c r="Q24" s="5"/>
      <c r="R24" s="5"/>
      <c r="S24" s="5"/>
      <c r="T24" s="5"/>
    </row>
    <row r="25" spans="12:20" x14ac:dyDescent="0.2">
      <c r="N25" s="5"/>
      <c r="Q25" s="5"/>
      <c r="R25" s="5"/>
      <c r="S25" s="5"/>
      <c r="T25" s="5"/>
    </row>
    <row r="26" spans="12:20" x14ac:dyDescent="0.2">
      <c r="N26" s="5"/>
      <c r="Q26" s="5"/>
      <c r="R26" s="5"/>
      <c r="S26" s="5"/>
      <c r="T26" s="5"/>
    </row>
    <row r="27" spans="12:20" x14ac:dyDescent="0.2">
      <c r="N27" s="5"/>
      <c r="Q27" s="5"/>
      <c r="R27" s="5"/>
      <c r="S27" s="5"/>
      <c r="T27" s="5"/>
    </row>
    <row r="28" spans="12:20" x14ac:dyDescent="0.2">
      <c r="N28" s="5"/>
      <c r="Q28" s="5"/>
      <c r="R28" s="5"/>
      <c r="S28" s="5"/>
      <c r="T28" s="5"/>
    </row>
    <row r="29" spans="12:20" x14ac:dyDescent="0.2">
      <c r="N29" s="5"/>
      <c r="Q29" s="5"/>
      <c r="R29" s="5"/>
      <c r="S29" s="5"/>
      <c r="T29" s="5"/>
    </row>
    <row r="30" spans="12:20" x14ac:dyDescent="0.2">
      <c r="N30" s="5"/>
      <c r="Q30" s="5"/>
      <c r="R30" s="5"/>
      <c r="S30" s="5"/>
      <c r="T30" s="5"/>
    </row>
    <row r="31" spans="12:20" x14ac:dyDescent="0.2">
      <c r="N31" s="5"/>
      <c r="Q31" s="5"/>
      <c r="R31" s="5"/>
      <c r="S31" s="5"/>
      <c r="T31" s="5"/>
    </row>
    <row r="32" spans="12:20" x14ac:dyDescent="0.2">
      <c r="N32" s="5"/>
      <c r="Q32" s="5"/>
      <c r="R32" s="5"/>
      <c r="S32" s="5"/>
      <c r="T32" s="5"/>
    </row>
    <row r="33" spans="14:20" x14ac:dyDescent="0.2">
      <c r="N33" s="5"/>
      <c r="Q33" s="5"/>
      <c r="R33" s="5"/>
      <c r="S33" s="5"/>
      <c r="T33" s="5"/>
    </row>
  </sheetData>
  <conditionalFormatting sqref="W13:W1048576 W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2026-04-26T00:33:21Z</dcterms:modified>
  <dc:language>ru-RU</dc:language>
</cp:coreProperties>
</file>