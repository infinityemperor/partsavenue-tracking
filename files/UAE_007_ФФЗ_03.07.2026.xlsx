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b2b71721ea5021/Desktop/РАБОЧАЯ/001 ИМПОРТ/001 containers/2026/001 UAE/UAE#7_APMG_STPARTSmix/"/>
    </mc:Choice>
  </mc:AlternateContent>
  <xr:revisionPtr revIDLastSave="13" documentId="13_ncr:1_{23509129-3E32-49F2-A233-7756F6D45826}" xr6:coauthVersionLast="47" xr6:coauthVersionMax="47" xr10:uidLastSave="{E2533D60-0DAA-4FE4-B9EC-ED0AB373F667}"/>
  <bookViews>
    <workbookView xWindow="-120" yWindow="-120" windowWidth="38640" windowHeight="21120" xr2:uid="{00000000-000D-0000-FFFF-FFFF00000000}"/>
  </bookViews>
  <sheets>
    <sheet name="ФПЗ_Э07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1" l="1"/>
  <c r="Y4" i="1"/>
  <c r="Y3" i="1"/>
  <c r="Y2" i="1"/>
  <c r="X2" i="1"/>
  <c r="S2" i="1"/>
  <c r="I2" i="1" l="1"/>
  <c r="AB2" i="1"/>
  <c r="P2" i="1"/>
  <c r="E8" i="1"/>
  <c r="S3" i="1"/>
  <c r="I4" i="1"/>
  <c r="I3" i="1"/>
  <c r="P3" i="1"/>
  <c r="Q3" i="1"/>
  <c r="Q2" i="1"/>
  <c r="P4" i="1" l="1"/>
  <c r="P8" i="1" s="1"/>
  <c r="T10" i="1" s="1"/>
  <c r="AB3" i="1"/>
  <c r="AB4" i="1"/>
  <c r="U10" i="1" l="1"/>
  <c r="AB5" i="1"/>
  <c r="O3" i="1"/>
  <c r="O4" i="1"/>
  <c r="O2" i="1"/>
  <c r="M3" i="1"/>
  <c r="Q4" i="1" l="1"/>
  <c r="M4" i="1"/>
  <c r="M2" i="1"/>
  <c r="Q8" i="1" l="1"/>
  <c r="M8" i="1"/>
  <c r="Q9" i="1" l="1"/>
  <c r="V3" i="1"/>
  <c r="T2" i="1"/>
  <c r="V2" i="1"/>
  <c r="W4" i="1"/>
  <c r="T4" i="1"/>
  <c r="W3" i="1"/>
  <c r="V4" i="1"/>
  <c r="W2" i="1"/>
  <c r="T3" i="1"/>
  <c r="V8" i="1" l="1"/>
  <c r="T8" i="1"/>
  <c r="AC2" i="1" s="1"/>
  <c r="W8" i="1"/>
  <c r="U3" i="1"/>
  <c r="X3" i="1" s="1"/>
  <c r="U4" i="1"/>
  <c r="X4" i="1" s="1"/>
  <c r="U2" i="1"/>
  <c r="U8" i="1" l="1"/>
  <c r="AC3" i="1"/>
  <c r="AC4" i="1"/>
  <c r="AC5" i="1" l="1"/>
  <c r="AA4" i="1"/>
  <c r="AA3" i="1"/>
  <c r="AA2" i="1"/>
  <c r="AC9" i="1" l="1"/>
</calcChain>
</file>

<file path=xl/sharedStrings.xml><?xml version="1.0" encoding="utf-8"?>
<sst xmlns="http://schemas.openxmlformats.org/spreadsheetml/2006/main" count="44" uniqueCount="39">
  <si>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</si>
  <si>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</si>
  <si>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</si>
  <si>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</si>
  <si>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</si>
  <si>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</si>
  <si>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</si>
  <si>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</si>
  <si>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</si>
  <si>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</si>
  <si>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</si>
  <si>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</si>
  <si>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</si>
  <si>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</si>
  <si>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</si>
  <si>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</si>
  <si>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</si>
  <si>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Дистриб</t>
  </si>
  <si>
    <t>Сумма реализации</t>
  </si>
  <si>
    <t>Стоимость ящика закуп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</si>
  <si>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</si>
  <si>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</si>
  <si>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</si>
  <si>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</si>
  <si>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</si>
  <si>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</si>
  <si>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Новый себес</t>
  </si>
  <si>
    <t>Обзий объем</t>
  </si>
  <si>
    <t>Новая рентабельность</t>
  </si>
  <si>
    <t>ПА</t>
  </si>
  <si>
    <t>СТ-ПАРТС</t>
  </si>
  <si>
    <t>АМТЕЛ</t>
  </si>
  <si>
    <t>0888681885</t>
  </si>
  <si>
    <t>83212465843</t>
  </si>
  <si>
    <t>TOYOTA</t>
  </si>
  <si>
    <t>BMW</t>
  </si>
  <si>
    <t>Toyota</t>
  </si>
  <si>
    <t>ATF WS</t>
  </si>
  <si>
    <t>TwinPower Turbo LL-01 5W-30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</si>
</sst>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  <numFmt numFmtId="174" formatCode="_-[$$-409]* #,##0.00_ ;_-[$$-409]* \-#,##0.00\ ;_-[$$-409]* &quot;-&quot;??_ ;_-@_ 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174" fontId="7" fillId="0" borderId="2" xfId="2" applyNumberFormat="1" applyFont="1" applyBorder="1" applyAlignment="1" applyProtection="1">
      <alignment horizontal="right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L30"/>
  <sheetViews>
    <sheetView tabSelected="1" zoomScale="85" workbookViewId="0">
      <pane xSplit="5" ySplit="1" topLeftCell="S2" activePane="bottomRight" state="frozen"/>
      <selection sqref="A1:H5"/>
      <selection pane="topRight"/>
      <selection pane="bottomLeft"/>
      <selection pane="bottomRight" activeCell="AC22" sqref="AC22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80" style="2" customWidth="1"/>
    <col min="4" max="4" width="11.7109375" style="3" customWidth="1"/>
    <col min="5" max="11" width="10.85546875" style="4" customWidth="1"/>
    <col min="12" max="12" width="10.42578125" style="5" customWidth="1"/>
    <col min="13" max="13" width="10.7109375" style="6" customWidth="1"/>
    <col min="14" max="15" width="22.28515625" style="6" bestFit="1" customWidth="1"/>
    <col min="16" max="16" width="16.42578125" style="7" customWidth="1"/>
    <col min="17" max="17" width="11.5703125" style="5"/>
    <col min="18" max="18" width="11.5703125" style="7"/>
    <col min="19" max="19" width="12.5703125" style="5" customWidth="1"/>
    <col min="20" max="20" width="18.5703125" style="5" customWidth="1"/>
    <col min="21" max="22" width="17.5703125" style="7" customWidth="1"/>
    <col min="23" max="23" width="14.140625" style="7" customWidth="1"/>
    <col min="24" max="24" width="21.5703125" style="7" customWidth="1"/>
    <col min="25" max="25" width="16" style="5" customWidth="1"/>
    <col min="26" max="26" width="17.5703125" style="5" customWidth="1"/>
    <col min="27" max="27" width="19.140625" style="5" customWidth="1"/>
    <col min="28" max="28" width="34.42578125" style="5" customWidth="1"/>
    <col min="29" max="29" width="28" style="5" customWidth="1"/>
    <col min="30" max="30" width="15.7109375" style="5" customWidth="1"/>
    <col min="31" max="31" width="11.5703125" style="5"/>
    <col min="32" max="32" width="44.140625" style="5" customWidth="1"/>
    <col min="33" max="1024" width="11.5703125" style="5"/>
    <col min="1025" max="1026" width="11.5703125" style="8"/>
  </cols>
  <sheetData>
    <row r="1" spans="1:1026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29</v>
      </c>
      <c r="G1" s="12" t="s">
        <v>30</v>
      </c>
      <c r="H1" s="12" t="s">
        <v>31</v>
      </c>
      <c r="I1" s="12" t="s">
        <v>27</v>
      </c>
      <c r="J1" s="12" t="s">
        <v>24</v>
      </c>
      <c r="K1" s="12" t="s">
        <v>25</v>
      </c>
      <c r="L1" s="10" t="s">
        <v>5</v>
      </c>
      <c r="M1" s="10" t="s">
        <v>6</v>
      </c>
      <c r="N1" s="10" t="s">
        <v>7</v>
      </c>
      <c r="O1" s="10" t="s">
        <v>23</v>
      </c>
      <c r="P1" s="13" t="s">
        <v>8</v>
      </c>
      <c r="Q1" s="14" t="s">
        <v>9</v>
      </c>
      <c r="R1" s="11" t="s">
        <v>10</v>
      </c>
      <c r="S1" s="15" t="s">
        <v>11</v>
      </c>
      <c r="T1" s="16" t="s">
        <v>12</v>
      </c>
      <c r="U1" s="17" t="s">
        <v>13</v>
      </c>
      <c r="V1" s="17" t="s">
        <v>14</v>
      </c>
      <c r="W1" s="17" t="s">
        <v>15</v>
      </c>
      <c r="X1" s="17" t="s">
        <v>16</v>
      </c>
      <c r="Y1" s="18" t="s">
        <v>26</v>
      </c>
      <c r="Z1" s="19" t="s">
        <v>17</v>
      </c>
      <c r="AA1" s="20" t="s">
        <v>28</v>
      </c>
      <c r="AB1" s="20" t="s">
        <v>18</v>
      </c>
      <c r="AC1" s="20" t="s">
        <v>19</v>
      </c>
      <c r="AD1" s="21"/>
      <c r="AE1" s="21"/>
      <c r="AF1" s="21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  <c r="AML1" s="22"/>
    </row>
    <row r="2" spans="1:1026" ht="15.75" x14ac:dyDescent="0.25">
      <c r="A2" s="23" t="s">
        <v>32</v>
      </c>
      <c r="B2" s="24" t="s">
        <v>34</v>
      </c>
      <c r="C2" s="25" t="s">
        <v>37</v>
      </c>
      <c r="D2" s="26">
        <v>4</v>
      </c>
      <c r="E2" s="26">
        <v>3712</v>
      </c>
      <c r="F2" s="26"/>
      <c r="G2" s="26">
        <v>312</v>
      </c>
      <c r="H2" s="26">
        <v>156</v>
      </c>
      <c r="I2" s="26">
        <f>E2*D2</f>
        <v>14848</v>
      </c>
      <c r="J2" s="26"/>
      <c r="K2" s="26"/>
      <c r="L2" s="26">
        <v>12</v>
      </c>
      <c r="M2" s="26">
        <f t="shared" ref="M2:M4" si="0">E2/L2</f>
        <v>309.33333333333331</v>
      </c>
      <c r="N2" s="67">
        <v>23</v>
      </c>
      <c r="O2" s="67">
        <f>N2+17/R2</f>
        <v>23.219354838709677</v>
      </c>
      <c r="P2" s="27">
        <f>N2*E2</f>
        <v>85376</v>
      </c>
      <c r="Q2" s="28">
        <f>D2*E2*0.97</f>
        <v>14402.56</v>
      </c>
      <c r="R2" s="24">
        <v>77.5</v>
      </c>
      <c r="S2" s="29">
        <f>N2*R2</f>
        <v>1782.5</v>
      </c>
      <c r="T2" s="29">
        <f>$T$10/$P$8*P2</f>
        <v>6616640</v>
      </c>
      <c r="U2" s="29">
        <f>$U$10/$P$8*P2</f>
        <v>1984991.9999999998</v>
      </c>
      <c r="V2" s="29">
        <f>$V$10/$Q$8*Q2</f>
        <v>1221258.646870255</v>
      </c>
      <c r="W2" s="29">
        <f>$W$10/$Q$8*Q2</f>
        <v>25051.459422979588</v>
      </c>
      <c r="X2" s="29">
        <f>T2+U2+V2+W2</f>
        <v>9847942.106293235</v>
      </c>
      <c r="Y2" s="64">
        <f>S2*($X$10 / $T$8)</f>
        <v>2689.4741391954194</v>
      </c>
      <c r="Z2" s="30">
        <v>3650</v>
      </c>
      <c r="AA2" s="65">
        <f>(Z2-Y2)/Y2</f>
        <v>0.35714262755169329</v>
      </c>
      <c r="AB2" s="31">
        <f>Z2*E2</f>
        <v>13548800</v>
      </c>
      <c r="AC2" s="31">
        <f>E2*Y2</f>
        <v>9983328.0046933964</v>
      </c>
      <c r="AD2" s="63"/>
      <c r="AE2" s="21"/>
      <c r="AF2" s="21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</row>
    <row r="3" spans="1:1026" ht="30" customHeight="1" x14ac:dyDescent="0.25">
      <c r="A3" s="23" t="s">
        <v>33</v>
      </c>
      <c r="B3" s="24" t="s">
        <v>35</v>
      </c>
      <c r="C3" s="25" t="s">
        <v>38</v>
      </c>
      <c r="D3" s="26">
        <v>1</v>
      </c>
      <c r="E3" s="26">
        <v>4292</v>
      </c>
      <c r="F3" s="26"/>
      <c r="G3" s="26">
        <v>1248</v>
      </c>
      <c r="H3" s="26">
        <v>156</v>
      </c>
      <c r="I3" s="26">
        <f t="shared" ref="I3:I4" si="1">E3*D3</f>
        <v>4292</v>
      </c>
      <c r="J3" s="26"/>
      <c r="K3" s="26"/>
      <c r="L3" s="26">
        <v>3</v>
      </c>
      <c r="M3" s="26">
        <f t="shared" si="0"/>
        <v>1430.6666666666667</v>
      </c>
      <c r="N3" s="67">
        <v>6.8</v>
      </c>
      <c r="O3" s="67">
        <f t="shared" ref="O3:O4" si="2">N3+17/R3</f>
        <v>7.0193548387096776</v>
      </c>
      <c r="P3" s="27">
        <f t="shared" ref="P3:P4" si="3">N3*E3</f>
        <v>29185.599999999999</v>
      </c>
      <c r="Q3" s="28">
        <f>D3*E3*0.97</f>
        <v>4163.24</v>
      </c>
      <c r="R3" s="24">
        <v>77.5</v>
      </c>
      <c r="S3" s="29">
        <f t="shared" ref="S3" si="4">N3*R3</f>
        <v>527</v>
      </c>
      <c r="T3" s="29">
        <f>$T$10/$P$8*P3</f>
        <v>2261884</v>
      </c>
      <c r="U3" s="29">
        <f>$U$10/$P$8*P3</f>
        <v>678565.19999999984</v>
      </c>
      <c r="V3" s="29">
        <f>$V$10/$Q$8*Q3</f>
        <v>353020.07761093305</v>
      </c>
      <c r="W3" s="29">
        <f>$W$10/$Q$8*Q3</f>
        <v>7241.4374894550365</v>
      </c>
      <c r="X3" s="29">
        <f t="shared" ref="X2:X4" si="5">T3+U3+V3+W3</f>
        <v>3300710.715100388</v>
      </c>
      <c r="Y3" s="64">
        <f>S3*($X$10 / $T$8)</f>
        <v>795.14887593603703</v>
      </c>
      <c r="Z3" s="30">
        <v>970</v>
      </c>
      <c r="AA3" s="65">
        <f t="shared" ref="AA3" si="6">(Z3-Y3)/Y3</f>
        <v>0.21989734168727954</v>
      </c>
      <c r="AB3" s="31">
        <f>Z3*E3</f>
        <v>4163240</v>
      </c>
      <c r="AC3" s="31">
        <f t="shared" ref="AC3:AC4" si="7">E3*Y3</f>
        <v>3412778.9755174709</v>
      </c>
      <c r="AD3" s="63"/>
      <c r="AE3" s="21"/>
      <c r="AF3" s="21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</row>
    <row r="4" spans="1:1026" ht="30.75" customHeight="1" x14ac:dyDescent="0.25">
      <c r="A4" s="23" t="s">
        <v>32</v>
      </c>
      <c r="B4" s="57" t="s">
        <v>36</v>
      </c>
      <c r="C4" s="25" t="s">
        <v>37</v>
      </c>
      <c r="D4" s="26">
        <v>4</v>
      </c>
      <c r="E4" s="26">
        <v>1142</v>
      </c>
      <c r="F4" s="26"/>
      <c r="G4" s="26">
        <v>1560</v>
      </c>
      <c r="H4" s="26">
        <v>156</v>
      </c>
      <c r="I4" s="26">
        <f t="shared" si="1"/>
        <v>4568</v>
      </c>
      <c r="J4" s="26"/>
      <c r="K4" s="26"/>
      <c r="L4" s="26">
        <v>3</v>
      </c>
      <c r="M4" s="26">
        <f t="shared" si="0"/>
        <v>380.66666666666669</v>
      </c>
      <c r="N4" s="67">
        <v>24</v>
      </c>
      <c r="O4" s="67">
        <f t="shared" si="2"/>
        <v>24.219354838709677</v>
      </c>
      <c r="P4" s="27">
        <f t="shared" si="3"/>
        <v>27408</v>
      </c>
      <c r="Q4" s="28">
        <f t="shared" ref="Q4" si="8">D4*E4*0.97</f>
        <v>4430.96</v>
      </c>
      <c r="R4" s="24">
        <v>77.5</v>
      </c>
      <c r="S4" s="29">
        <f>N4*R4</f>
        <v>1860</v>
      </c>
      <c r="T4" s="29">
        <f>$T$10/$P$8*P4</f>
        <v>2124120</v>
      </c>
      <c r="U4" s="29">
        <f>$U$10/$P$8*P4</f>
        <v>637235.99999999988</v>
      </c>
      <c r="V4" s="29">
        <f>$V$10/$Q$8*Q4</f>
        <v>375721.2755188123</v>
      </c>
      <c r="W4" s="29">
        <f>$W$10/$Q$8*Q4</f>
        <v>7707.1030875653796</v>
      </c>
      <c r="X4" s="29">
        <f t="shared" si="5"/>
        <v>3144784.3786063776</v>
      </c>
      <c r="Y4" s="64">
        <f>S4*($X$10 / $T$8)</f>
        <v>2806.4077974213069</v>
      </c>
      <c r="Z4" s="30">
        <v>3650</v>
      </c>
      <c r="AA4" s="65">
        <f>(Z4-Y4)/Y4</f>
        <v>0.30059501807037287</v>
      </c>
      <c r="AB4" s="31">
        <f>Z4*E4</f>
        <v>4168300</v>
      </c>
      <c r="AC4" s="31">
        <f t="shared" si="7"/>
        <v>3204917.7046551323</v>
      </c>
      <c r="AD4" s="63"/>
      <c r="AE4" s="21"/>
      <c r="AF4" s="21"/>
    </row>
    <row r="5" spans="1:1026" ht="15.75" x14ac:dyDescent="0.25">
      <c r="A5" s="45"/>
      <c r="B5" s="46"/>
      <c r="C5" s="47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9"/>
      <c r="P5" s="49"/>
      <c r="Q5" s="56"/>
      <c r="R5" s="46"/>
      <c r="S5" s="50"/>
      <c r="T5" s="50"/>
      <c r="U5" s="50"/>
      <c r="V5" s="50"/>
      <c r="W5" s="32"/>
      <c r="X5" s="50"/>
      <c r="Y5" s="51"/>
      <c r="Z5" s="56"/>
      <c r="AA5" s="52"/>
      <c r="AB5" s="60">
        <f>SUM(AB2:AB4)</f>
        <v>21880340</v>
      </c>
      <c r="AC5" s="60">
        <f>SUM(AC2:AC4)</f>
        <v>16601024.684866</v>
      </c>
      <c r="AD5" s="63"/>
      <c r="AE5" s="21"/>
      <c r="AF5" s="21"/>
    </row>
    <row r="6" spans="1:1026" ht="15.75" x14ac:dyDescent="0.25">
      <c r="A6" s="45"/>
      <c r="B6" s="46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49"/>
      <c r="Q6" s="56"/>
      <c r="R6" s="46"/>
      <c r="S6" s="50"/>
      <c r="T6" s="50"/>
      <c r="U6" s="50"/>
      <c r="V6" s="50"/>
      <c r="W6" s="32"/>
      <c r="X6" s="50"/>
      <c r="Y6" s="51"/>
      <c r="Z6" s="56"/>
      <c r="AA6" s="52"/>
      <c r="AB6" s="53"/>
      <c r="AC6" s="53"/>
      <c r="AD6" s="21"/>
      <c r="AE6" s="21"/>
      <c r="AF6" s="21"/>
    </row>
    <row r="7" spans="1:1026" ht="15.75" x14ac:dyDescent="0.25">
      <c r="A7" s="4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9"/>
      <c r="P7" s="49"/>
      <c r="Q7" s="56"/>
      <c r="R7" s="46"/>
      <c r="S7" s="50"/>
      <c r="T7" s="50"/>
      <c r="U7" s="50"/>
      <c r="V7" s="50"/>
      <c r="W7" s="32"/>
      <c r="X7" s="50"/>
      <c r="Y7" s="51"/>
      <c r="Z7" s="56"/>
      <c r="AA7" s="52"/>
      <c r="AB7" s="53"/>
      <c r="AC7" s="53"/>
      <c r="AD7" s="21"/>
      <c r="AE7" s="21"/>
      <c r="AF7" s="21"/>
    </row>
    <row r="8" spans="1:1026" ht="15.75" x14ac:dyDescent="0.25">
      <c r="A8" s="33"/>
      <c r="B8" s="34"/>
      <c r="C8" s="34"/>
      <c r="D8" s="35"/>
      <c r="E8" s="36">
        <f>SUM(E2:E4)</f>
        <v>9146</v>
      </c>
      <c r="F8" s="36"/>
      <c r="G8" s="36"/>
      <c r="H8" s="36"/>
      <c r="I8" s="36"/>
      <c r="J8" s="36"/>
      <c r="K8" s="36"/>
      <c r="L8" s="37"/>
      <c r="M8" s="36">
        <f>SUM(M2:M4)</f>
        <v>2120.6666666666665</v>
      </c>
      <c r="N8" s="36"/>
      <c r="O8" s="37"/>
      <c r="P8" s="58">
        <f>SUMIF(P2:P4,"&lt;&gt;#ДЕЛ/0!")</f>
        <v>141969.60000000001</v>
      </c>
      <c r="Q8" s="59">
        <f>SUM(Q2:Q4)</f>
        <v>22996.76</v>
      </c>
      <c r="S8" s="7"/>
      <c r="T8" s="38">
        <f>SUMIF(T2:T4,"&lt;&gt;#ДЕЛ/0!")</f>
        <v>11002644</v>
      </c>
      <c r="U8" s="38">
        <f>SUMIF(U2:U4,"&lt;&gt;#ДЕЛ/0!")</f>
        <v>3300793.1999999997</v>
      </c>
      <c r="V8" s="38">
        <f>SUMIF(V2:V4,"&lt;&gt;#ДЕЛ/0!")</f>
        <v>1950000.0000000002</v>
      </c>
      <c r="W8" s="38">
        <f>SUMIF(W2:W4,"&lt;&gt;#ДЕЛ/0!")</f>
        <v>40000.000000000007</v>
      </c>
      <c r="X8" s="38">
        <v>16601024.684866</v>
      </c>
      <c r="Y8" s="39"/>
      <c r="Z8" s="21"/>
      <c r="AC8" s="21"/>
      <c r="AD8" s="21"/>
      <c r="AE8" s="21"/>
      <c r="AF8" s="21"/>
      <c r="AMK8" s="5"/>
      <c r="AML8" s="5"/>
    </row>
    <row r="9" spans="1:1026" ht="30" x14ac:dyDescent="0.25">
      <c r="A9"/>
      <c r="P9" s="54" t="s">
        <v>20</v>
      </c>
      <c r="Q9" s="55">
        <f>(Q8/700)*20+Q8</f>
        <v>23653.810285714284</v>
      </c>
      <c r="S9" s="7"/>
      <c r="T9" s="40" t="s">
        <v>21</v>
      </c>
      <c r="U9" s="40" t="s">
        <v>21</v>
      </c>
      <c r="V9" s="40" t="s">
        <v>21</v>
      </c>
      <c r="W9" s="40" t="s">
        <v>21</v>
      </c>
      <c r="X9" s="41"/>
      <c r="AB9" s="61" t="s">
        <v>22</v>
      </c>
      <c r="AC9" s="62">
        <f>(AB5-AC5)/AC5</f>
        <v>0.31801141287060342</v>
      </c>
    </row>
    <row r="10" spans="1:1026" ht="15.75" x14ac:dyDescent="0.25">
      <c r="P10" s="6"/>
      <c r="Q10" s="6"/>
      <c r="T10" s="42">
        <f>P8*R2</f>
        <v>11002644</v>
      </c>
      <c r="U10" s="42">
        <f>T10*0.3</f>
        <v>3300793.1999999997</v>
      </c>
      <c r="V10" s="43">
        <v>1950000</v>
      </c>
      <c r="W10" s="43">
        <v>40000</v>
      </c>
      <c r="X10" s="42">
        <v>16601024.684866</v>
      </c>
    </row>
    <row r="11" spans="1:1026" x14ac:dyDescent="0.2">
      <c r="P11" s="6"/>
      <c r="Q11" s="6"/>
      <c r="R11" s="5"/>
      <c r="U11" s="5"/>
      <c r="V11" s="5"/>
      <c r="W11" s="5"/>
      <c r="X11" s="5"/>
    </row>
    <row r="12" spans="1:1026" x14ac:dyDescent="0.2">
      <c r="P12" s="6"/>
      <c r="Q12" s="6"/>
      <c r="R12" s="5"/>
      <c r="U12" s="5"/>
      <c r="V12" s="5"/>
      <c r="W12" s="5"/>
      <c r="X12" s="5"/>
      <c r="AD12" s="66"/>
    </row>
    <row r="13" spans="1:1026" x14ac:dyDescent="0.2">
      <c r="P13" s="6"/>
      <c r="Q13" s="6"/>
      <c r="R13" s="5"/>
      <c r="U13" s="5"/>
      <c r="V13" s="5"/>
      <c r="W13" s="5"/>
      <c r="X13" s="5"/>
    </row>
    <row r="14" spans="1:1026" ht="15.75" x14ac:dyDescent="0.2">
      <c r="P14" s="6"/>
      <c r="Q14" s="6"/>
      <c r="R14" s="5"/>
      <c r="U14" s="44"/>
      <c r="V14" s="5"/>
      <c r="W14" s="5"/>
      <c r="X14" s="5"/>
      <c r="AB14" s="60"/>
    </row>
    <row r="15" spans="1:1026" x14ac:dyDescent="0.2">
      <c r="P15" s="6"/>
      <c r="Q15" s="6"/>
      <c r="R15" s="5"/>
      <c r="U15" s="5"/>
      <c r="V15" s="5"/>
      <c r="W15" s="5"/>
      <c r="X15" s="5"/>
    </row>
    <row r="16" spans="1:1026" x14ac:dyDescent="0.2">
      <c r="R16" s="5"/>
      <c r="U16" s="5"/>
      <c r="V16" s="5"/>
      <c r="W16" s="5"/>
      <c r="X16" s="5"/>
    </row>
    <row r="17" spans="18:24" x14ac:dyDescent="0.2">
      <c r="R17" s="5"/>
      <c r="U17" s="5"/>
      <c r="V17" s="5"/>
      <c r="W17" s="5"/>
      <c r="X17" s="5"/>
    </row>
    <row r="18" spans="18:24" x14ac:dyDescent="0.2">
      <c r="R18" s="5"/>
      <c r="U18" s="5"/>
      <c r="V18" s="5"/>
      <c r="W18" s="5"/>
      <c r="X18" s="5"/>
    </row>
    <row r="19" spans="18:24" x14ac:dyDescent="0.2">
      <c r="R19" s="5"/>
      <c r="U19" s="5"/>
      <c r="V19" s="5"/>
      <c r="W19" s="5"/>
      <c r="X19" s="5"/>
    </row>
    <row r="20" spans="18:24" x14ac:dyDescent="0.2">
      <c r="R20" s="5"/>
      <c r="U20" s="5"/>
      <c r="V20" s="5"/>
      <c r="W20" s="5"/>
      <c r="X20" s="5"/>
    </row>
    <row r="21" spans="18:24" x14ac:dyDescent="0.2">
      <c r="R21" s="5"/>
      <c r="U21" s="5"/>
      <c r="V21" s="5"/>
      <c r="W21" s="5"/>
      <c r="X21" s="5"/>
    </row>
    <row r="22" spans="18:24" x14ac:dyDescent="0.2">
      <c r="R22" s="5"/>
      <c r="U22" s="5"/>
      <c r="V22" s="5"/>
      <c r="W22" s="5"/>
      <c r="X22" s="5"/>
    </row>
    <row r="23" spans="18:24" x14ac:dyDescent="0.2">
      <c r="R23" s="5"/>
      <c r="U23" s="5"/>
      <c r="V23" s="5"/>
      <c r="W23" s="5"/>
      <c r="X23" s="5"/>
    </row>
    <row r="24" spans="18:24" x14ac:dyDescent="0.2">
      <c r="R24" s="5"/>
      <c r="U24" s="5"/>
      <c r="V24" s="5"/>
      <c r="W24" s="5"/>
      <c r="X24" s="5"/>
    </row>
    <row r="25" spans="18:24" x14ac:dyDescent="0.2">
      <c r="R25" s="5"/>
      <c r="U25" s="5"/>
      <c r="V25" s="5"/>
      <c r="W25" s="5"/>
      <c r="X25" s="5"/>
    </row>
    <row r="26" spans="18:24" x14ac:dyDescent="0.2">
      <c r="R26" s="5"/>
      <c r="U26" s="5"/>
      <c r="V26" s="5"/>
      <c r="W26" s="5"/>
      <c r="X26" s="5"/>
    </row>
    <row r="27" spans="18:24" x14ac:dyDescent="0.2">
      <c r="R27" s="5"/>
      <c r="U27" s="5"/>
      <c r="V27" s="5"/>
      <c r="W27" s="5"/>
      <c r="X27" s="5"/>
    </row>
    <row r="28" spans="18:24" x14ac:dyDescent="0.2">
      <c r="R28" s="5"/>
      <c r="U28" s="5"/>
      <c r="V28" s="5"/>
      <c r="W28" s="5"/>
      <c r="X28" s="5"/>
    </row>
    <row r="29" spans="18:24" x14ac:dyDescent="0.2">
      <c r="R29" s="5"/>
      <c r="U29" s="5"/>
      <c r="V29" s="5"/>
      <c r="W29" s="5"/>
      <c r="X29" s="5"/>
    </row>
    <row r="30" spans="18:24" x14ac:dyDescent="0.2">
      <c r="R30" s="5"/>
      <c r="U30" s="5"/>
      <c r="V30" s="5"/>
      <c r="W30" s="5"/>
      <c r="X30" s="5"/>
    </row>
  </sheetData>
  <conditionalFormatting sqref="AA10:AA1048576 AA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2026-07-03T09:52:30Z</dcterms:modified>
  <dc:language>ru-RU</dc:language>
</cp:coreProperties>
</file>